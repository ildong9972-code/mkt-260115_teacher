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ataclass_weekday/marketing/"/>
    </mc:Choice>
  </mc:AlternateContent>
  <xr:revisionPtr revIDLastSave="0" documentId="13_ncr:1_{67568F57-A528-F64B-A6C1-992EB44063B0}" xr6:coauthVersionLast="47" xr6:coauthVersionMax="47" xr10:uidLastSave="{00000000-0000-0000-0000-000000000000}"/>
  <bookViews>
    <workbookView xWindow="37220" yWindow="3360" windowWidth="38400" windowHeight="18240" activeTab="1" xr2:uid="{00000000-000D-0000-FFFF-FFFF00000000}"/>
  </bookViews>
  <sheets>
    <sheet name="OKR" sheetId="5" r:id="rId1"/>
    <sheet name="네이버 연관키워드" sheetId="1" r:id="rId2"/>
    <sheet name="키워드 분석" sheetId="2" r:id="rId3"/>
    <sheet name="키워드 과금방법" sheetId="3" r:id="rId4"/>
    <sheet name="ROAS, ROI" sheetId="4" r:id="rId5"/>
    <sheet name="Sheet5" sheetId="6" r:id="rId6"/>
  </sheets>
  <definedNames>
    <definedName name="_xlnm._FilterDatabase" localSheetId="1" hidden="1">'네이버 연관키워드'!$A$1:$K$284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H7" i="2"/>
  <c r="M4" i="2"/>
  <c r="L4" i="2"/>
  <c r="K4" i="2"/>
  <c r="M5" i="2"/>
  <c r="M6" i="2"/>
  <c r="L5" i="2"/>
  <c r="L6" i="2"/>
  <c r="K5" i="2"/>
  <c r="K6" i="2"/>
  <c r="J5" i="2"/>
  <c r="J6" i="2"/>
  <c r="J4" i="2"/>
  <c r="H5" i="2"/>
  <c r="H6" i="2"/>
  <c r="H4" i="2"/>
  <c r="I242" i="1"/>
  <c r="I264" i="1"/>
  <c r="I282" i="1"/>
  <c r="I135" i="1"/>
  <c r="I250" i="1"/>
  <c r="I272" i="1"/>
  <c r="I86" i="1"/>
  <c r="I205" i="1"/>
  <c r="I66" i="1"/>
  <c r="I74" i="1"/>
  <c r="I105" i="1"/>
  <c r="I61" i="1"/>
  <c r="I243" i="1"/>
  <c r="I227" i="1"/>
  <c r="I265" i="1"/>
  <c r="I273" i="1"/>
  <c r="I96" i="1"/>
  <c r="I133" i="1"/>
  <c r="I106" i="1"/>
  <c r="I198" i="1"/>
  <c r="I193" i="1"/>
  <c r="I125" i="1"/>
  <c r="I89" i="1"/>
  <c r="I251" i="1"/>
  <c r="I175" i="1"/>
  <c r="I206" i="1"/>
  <c r="I91" i="1"/>
  <c r="I144" i="1"/>
  <c r="I101" i="1"/>
  <c r="I252" i="1"/>
  <c r="I253" i="1"/>
  <c r="I179" i="1"/>
  <c r="I112" i="1"/>
  <c r="I177" i="1"/>
  <c r="I120" i="1"/>
  <c r="I221" i="1"/>
  <c r="I59" i="1"/>
  <c r="I47" i="1"/>
  <c r="I160" i="1"/>
  <c r="I222" i="1"/>
  <c r="I54" i="1"/>
  <c r="I136" i="1"/>
  <c r="I214" i="1"/>
  <c r="I80" i="1"/>
  <c r="I107" i="1"/>
  <c r="I99" i="1"/>
  <c r="I199" i="1"/>
  <c r="I244" i="1"/>
  <c r="I180" i="1"/>
  <c r="I90" i="1"/>
  <c r="I194" i="1"/>
  <c r="I274" i="1"/>
  <c r="I139" i="1"/>
  <c r="I60" i="1"/>
  <c r="I134" i="1"/>
  <c r="I176" i="1"/>
  <c r="I228" i="1"/>
  <c r="I13" i="1"/>
  <c r="I184" i="1"/>
  <c r="I25" i="1"/>
  <c r="I148" i="1"/>
  <c r="I12" i="1"/>
  <c r="I69" i="1"/>
  <c r="I229" i="1"/>
  <c r="I83" i="1"/>
  <c r="I116" i="1"/>
  <c r="I275" i="1"/>
  <c r="I79" i="1"/>
  <c r="I278" i="1"/>
  <c r="I31" i="1"/>
  <c r="I62" i="1"/>
  <c r="I266" i="1"/>
  <c r="I81" i="1"/>
  <c r="I185" i="1"/>
  <c r="I84" i="1"/>
  <c r="I162" i="1"/>
  <c r="I85" i="1"/>
  <c r="I100" i="1"/>
  <c r="I46" i="1"/>
  <c r="I140" i="1"/>
  <c r="I230" i="1"/>
  <c r="I188" i="1"/>
  <c r="I254" i="1"/>
  <c r="I223" i="1"/>
  <c r="I267" i="1"/>
  <c r="I126" i="1"/>
  <c r="I118" i="1"/>
  <c r="I141" i="1"/>
  <c r="I78" i="1"/>
  <c r="I200" i="1"/>
  <c r="I71" i="1"/>
  <c r="I224" i="1"/>
  <c r="I201" i="1"/>
  <c r="I128" i="1"/>
  <c r="I190" i="1"/>
  <c r="I2" i="1"/>
  <c r="I172" i="1"/>
  <c r="I181" i="1"/>
  <c r="I19" i="1"/>
  <c r="I207" i="1"/>
  <c r="I137" i="1"/>
  <c r="I158" i="1"/>
  <c r="I182" i="1"/>
  <c r="I108" i="1"/>
  <c r="I9" i="1"/>
  <c r="I163" i="1"/>
  <c r="I75" i="1"/>
  <c r="I87" i="1"/>
  <c r="I145" i="1"/>
  <c r="I149" i="1"/>
  <c r="I183" i="1"/>
  <c r="I76" i="1"/>
  <c r="I231" i="1"/>
  <c r="I4" i="1"/>
  <c r="I92" i="1"/>
  <c r="I143" i="1"/>
  <c r="I52" i="1"/>
  <c r="I127" i="1"/>
  <c r="I32" i="1"/>
  <c r="I168" i="1"/>
  <c r="I20" i="1"/>
  <c r="I58" i="1"/>
  <c r="I164" i="1"/>
  <c r="I27" i="1"/>
  <c r="I113" i="1"/>
  <c r="I159" i="1"/>
  <c r="I111" i="1"/>
  <c r="I155" i="1"/>
  <c r="I57" i="1"/>
  <c r="I232" i="1"/>
  <c r="I24" i="1"/>
  <c r="I233" i="1"/>
  <c r="I48" i="1"/>
  <c r="I63" i="1"/>
  <c r="I245" i="1"/>
  <c r="I34" i="1"/>
  <c r="I150" i="1"/>
  <c r="I35" i="1"/>
  <c r="I234" i="1"/>
  <c r="I277" i="1"/>
  <c r="I21" i="1"/>
  <c r="I8" i="1"/>
  <c r="I14" i="1"/>
  <c r="I189" i="1"/>
  <c r="I16" i="1"/>
  <c r="I102" i="1"/>
  <c r="I202" i="1"/>
  <c r="I268" i="1"/>
  <c r="I151" i="1"/>
  <c r="I5" i="1"/>
  <c r="I215" i="1"/>
  <c r="I225" i="1"/>
  <c r="I142" i="1"/>
  <c r="I28" i="1"/>
  <c r="I53" i="1"/>
  <c r="I121" i="1"/>
  <c r="I235" i="1"/>
  <c r="I33" i="1"/>
  <c r="I269" i="1"/>
  <c r="I30" i="1"/>
  <c r="I122" i="1"/>
  <c r="I18" i="1"/>
  <c r="I195" i="1"/>
  <c r="I208" i="1"/>
  <c r="I129" i="1"/>
  <c r="I236" i="1"/>
  <c r="I186" i="1"/>
  <c r="I209" i="1"/>
  <c r="I55" i="1"/>
  <c r="I169" i="1"/>
  <c r="I50" i="1"/>
  <c r="I138" i="1"/>
  <c r="I38" i="1"/>
  <c r="I114" i="1"/>
  <c r="I64" i="1"/>
  <c r="I237" i="1"/>
  <c r="I70" i="1"/>
  <c r="I93" i="1"/>
  <c r="I26" i="1"/>
  <c r="I42" i="1"/>
  <c r="I152" i="1"/>
  <c r="I29" i="1"/>
  <c r="I279" i="1"/>
  <c r="I115" i="1"/>
  <c r="I255" i="1"/>
  <c r="I109" i="1"/>
  <c r="I283" i="1"/>
  <c r="I6" i="1"/>
  <c r="I131" i="1"/>
  <c r="I263" i="1"/>
  <c r="I276" i="1"/>
  <c r="I37" i="1"/>
  <c r="I98" i="1"/>
  <c r="I153" i="1"/>
  <c r="I10" i="1"/>
  <c r="I36" i="1"/>
  <c r="I49" i="1"/>
  <c r="I73" i="1"/>
  <c r="I161" i="1"/>
  <c r="I280" i="1"/>
  <c r="I165" i="1"/>
  <c r="I97" i="1"/>
  <c r="I216" i="1"/>
  <c r="I44" i="1"/>
  <c r="I196" i="1"/>
  <c r="I117" i="1"/>
  <c r="I130" i="1"/>
  <c r="I256" i="1"/>
  <c r="I39" i="1"/>
  <c r="I103" i="1"/>
  <c r="I68" i="1"/>
  <c r="I40" i="1"/>
  <c r="I94" i="1"/>
  <c r="I217" i="1"/>
  <c r="I123" i="1"/>
  <c r="I88" i="1"/>
  <c r="I147" i="1"/>
  <c r="I51" i="1"/>
  <c r="I65" i="1"/>
  <c r="I226" i="1"/>
  <c r="I124" i="1"/>
  <c r="I3" i="1"/>
  <c r="I41" i="1"/>
  <c r="I72" i="1"/>
  <c r="I104" i="1"/>
  <c r="I132" i="1"/>
  <c r="I77" i="1"/>
  <c r="I11" i="1"/>
  <c r="I23" i="1"/>
  <c r="I95" i="1"/>
  <c r="I281" i="1"/>
  <c r="I191" i="1"/>
  <c r="I56" i="1"/>
  <c r="I246" i="1"/>
  <c r="I257" i="1"/>
  <c r="I45" i="1"/>
  <c r="I247" i="1"/>
  <c r="I218" i="1"/>
  <c r="I156" i="1"/>
  <c r="I82" i="1"/>
  <c r="I43" i="1"/>
  <c r="I119" i="1"/>
  <c r="I170" i="1"/>
  <c r="I284" i="1"/>
  <c r="I203" i="1"/>
  <c r="I15" i="1"/>
  <c r="I210" i="1"/>
  <c r="I166" i="1"/>
  <c r="I178" i="1"/>
  <c r="I238" i="1"/>
  <c r="I248" i="1"/>
  <c r="I173" i="1"/>
  <c r="I270" i="1"/>
  <c r="I67" i="1"/>
  <c r="I17" i="1"/>
  <c r="I171" i="1"/>
  <c r="I271" i="1"/>
  <c r="I157" i="1"/>
  <c r="I219" i="1"/>
  <c r="I211" i="1"/>
  <c r="I239" i="1"/>
  <c r="I110" i="1"/>
  <c r="I258" i="1"/>
  <c r="I220" i="1"/>
  <c r="I7" i="1"/>
  <c r="I22" i="1"/>
  <c r="I192" i="1"/>
  <c r="I259" i="1"/>
  <c r="I260" i="1"/>
  <c r="I261" i="1"/>
  <c r="I262" i="1"/>
  <c r="I249" i="1"/>
  <c r="I240" i="1"/>
  <c r="I241" i="1"/>
  <c r="I154" i="1"/>
  <c r="I212" i="1"/>
  <c r="I213" i="1"/>
  <c r="I197" i="1"/>
  <c r="I204" i="1"/>
  <c r="I187" i="1"/>
  <c r="I174" i="1"/>
  <c r="I167" i="1"/>
  <c r="I146" i="1"/>
  <c r="D8" i="1"/>
  <c r="D9" i="1"/>
  <c r="D4" i="1"/>
  <c r="D29" i="1"/>
  <c r="D28" i="1"/>
  <c r="D12" i="1"/>
  <c r="D16" i="1"/>
  <c r="D62" i="1"/>
  <c r="D3" i="1"/>
  <c r="D18" i="1"/>
  <c r="D15" i="1"/>
  <c r="D24" i="1"/>
  <c r="D5" i="1"/>
  <c r="D10" i="1"/>
  <c r="D183" i="1"/>
  <c r="D37" i="1"/>
  <c r="D6" i="1"/>
  <c r="D19" i="1"/>
  <c r="D21" i="1"/>
  <c r="D258" i="1"/>
  <c r="D240" i="1"/>
  <c r="D252" i="1"/>
  <c r="D95" i="1"/>
  <c r="D254" i="1"/>
  <c r="D114" i="1"/>
  <c r="D171" i="1"/>
  <c r="D266" i="1"/>
  <c r="D260" i="1"/>
  <c r="D188" i="1"/>
  <c r="D253" i="1"/>
  <c r="D157" i="1"/>
  <c r="D40" i="1"/>
  <c r="D263" i="1"/>
  <c r="D274" i="1"/>
  <c r="D120" i="1"/>
  <c r="D145" i="1"/>
  <c r="D279" i="1"/>
  <c r="D244" i="1"/>
  <c r="D236" i="1"/>
  <c r="D227" i="1"/>
  <c r="D70" i="1"/>
  <c r="D282" i="1"/>
  <c r="D216" i="1"/>
  <c r="D26" i="1"/>
  <c r="D43" i="1"/>
  <c r="D121" i="1"/>
  <c r="D209" i="1"/>
  <c r="D39" i="1"/>
  <c r="D166" i="1"/>
  <c r="D192" i="1"/>
  <c r="D269" i="1"/>
  <c r="D135" i="1"/>
  <c r="D247" i="1"/>
  <c r="D117" i="1"/>
  <c r="D239" i="1"/>
  <c r="D147" i="1"/>
  <c r="D137" i="1"/>
  <c r="D203" i="1"/>
  <c r="D212" i="1"/>
  <c r="D207" i="1"/>
  <c r="D81" i="1"/>
  <c r="D32" i="1"/>
  <c r="D49" i="1"/>
  <c r="D215" i="1"/>
  <c r="D98" i="1"/>
  <c r="D54" i="1"/>
  <c r="D175" i="1"/>
  <c r="D270" i="1"/>
  <c r="D47" i="1"/>
  <c r="D36" i="1"/>
  <c r="D66" i="1"/>
  <c r="D133" i="1"/>
  <c r="D118" i="1"/>
  <c r="D165" i="1"/>
  <c r="D115" i="1"/>
  <c r="D113" i="1"/>
  <c r="D174" i="1"/>
  <c r="D168" i="1"/>
  <c r="D265" i="1"/>
  <c r="D205" i="1"/>
  <c r="D23" i="1"/>
  <c r="D103" i="1"/>
  <c r="D71" i="1"/>
  <c r="D276" i="1"/>
  <c r="D218" i="1"/>
  <c r="D69" i="1"/>
  <c r="D123" i="1"/>
  <c r="D14" i="1"/>
  <c r="D55" i="1"/>
  <c r="D161" i="1"/>
  <c r="D201" i="1"/>
  <c r="D60" i="1"/>
  <c r="D179" i="1"/>
  <c r="D241" i="1"/>
  <c r="D119" i="1"/>
  <c r="D245" i="1"/>
  <c r="D132" i="1"/>
  <c r="D230" i="1"/>
  <c r="D185" i="1"/>
  <c r="D170" i="1"/>
  <c r="D109" i="1"/>
  <c r="D35" i="1"/>
  <c r="D42" i="1"/>
  <c r="D67" i="1"/>
  <c r="D261" i="1"/>
  <c r="D63" i="1"/>
  <c r="D111" i="1"/>
  <c r="D206" i="1"/>
  <c r="D233" i="1"/>
  <c r="D148" i="1"/>
  <c r="D158" i="1"/>
  <c r="D283" i="1"/>
  <c r="D85" i="1"/>
  <c r="D251" i="1"/>
  <c r="D96" i="1"/>
  <c r="D105" i="1"/>
  <c r="D243" i="1"/>
  <c r="D130" i="1"/>
  <c r="D20" i="1"/>
  <c r="D225" i="1"/>
  <c r="D68" i="1"/>
  <c r="D277" i="1"/>
  <c r="D30" i="1"/>
  <c r="D213" i="1"/>
  <c r="D242" i="1"/>
  <c r="D38" i="1"/>
  <c r="D31" i="1"/>
  <c r="D34" i="1"/>
  <c r="D104" i="1"/>
  <c r="D195" i="1"/>
  <c r="D48" i="1"/>
  <c r="D141" i="1"/>
  <c r="D27" i="1"/>
  <c r="D257" i="1"/>
  <c r="D200" i="1"/>
  <c r="D99" i="1"/>
  <c r="D46" i="1"/>
  <c r="D234" i="1"/>
  <c r="D272" i="1"/>
  <c r="D177" i="1"/>
  <c r="D190" i="1"/>
  <c r="D196" i="1"/>
  <c r="D17" i="1"/>
  <c r="D138" i="1"/>
  <c r="D77" i="1"/>
  <c r="D142" i="1"/>
  <c r="D41" i="1"/>
  <c r="D278" i="1"/>
  <c r="D172" i="1"/>
  <c r="D50" i="1"/>
  <c r="D88" i="1"/>
  <c r="D187" i="1"/>
  <c r="D90" i="1"/>
  <c r="D79" i="1"/>
  <c r="D199" i="1"/>
  <c r="D91" i="1"/>
  <c r="D125" i="1"/>
  <c r="D223" i="1"/>
  <c r="D76" i="1"/>
  <c r="D255" i="1"/>
  <c r="D144" i="1"/>
  <c r="D184" i="1"/>
  <c r="D73" i="1"/>
  <c r="D56" i="1"/>
  <c r="D52" i="1"/>
  <c r="D65" i="1"/>
  <c r="D58" i="1"/>
  <c r="D93" i="1"/>
  <c r="D78" i="1"/>
  <c r="D211" i="1"/>
  <c r="D61" i="1"/>
  <c r="D33" i="1"/>
  <c r="D126" i="1"/>
  <c r="D45" i="1"/>
  <c r="D82" i="1"/>
  <c r="D129" i="1"/>
  <c r="D87" i="1"/>
  <c r="D224" i="1"/>
  <c r="D139" i="1"/>
  <c r="D246" i="1"/>
  <c r="D136" i="1"/>
  <c r="D162" i="1"/>
  <c r="D178" i="1"/>
  <c r="D181" i="1"/>
  <c r="D228" i="1"/>
  <c r="D116" i="1"/>
  <c r="D83" i="1"/>
  <c r="D152" i="1"/>
  <c r="D210" i="1"/>
  <c r="D164" i="1"/>
  <c r="D143" i="1"/>
  <c r="D150" i="1"/>
  <c r="D11" i="1"/>
  <c r="D219" i="1"/>
  <c r="D134" i="1"/>
  <c r="D102" i="1"/>
  <c r="D229" i="1"/>
  <c r="D208" i="1"/>
  <c r="D193" i="1"/>
  <c r="D89" i="1"/>
  <c r="D75" i="1"/>
  <c r="D84" i="1"/>
  <c r="D153" i="1"/>
  <c r="D221" i="1"/>
  <c r="D53" i="1"/>
  <c r="D64" i="1"/>
  <c r="D80" i="1"/>
  <c r="D281" i="1"/>
  <c r="D149" i="1"/>
  <c r="D159" i="1"/>
  <c r="D180" i="1"/>
  <c r="D57" i="1"/>
  <c r="D275" i="1"/>
  <c r="D259" i="1"/>
  <c r="D101" i="1"/>
  <c r="D86" i="1"/>
  <c r="D107" i="1"/>
  <c r="D146" i="1"/>
  <c r="D191" i="1"/>
  <c r="D112" i="1"/>
  <c r="D197" i="1"/>
  <c r="D110" i="1"/>
  <c r="D128" i="1"/>
  <c r="D198" i="1"/>
  <c r="D44" i="1"/>
  <c r="D154" i="1"/>
  <c r="D167" i="1"/>
  <c r="D160" i="1"/>
  <c r="D220" i="1"/>
  <c r="D182" i="1"/>
  <c r="D151" i="1"/>
  <c r="D155" i="1"/>
  <c r="D108" i="1"/>
  <c r="D127" i="1"/>
  <c r="D256" i="1"/>
  <c r="D131" i="1"/>
  <c r="D194" i="1"/>
  <c r="D232" i="1"/>
  <c r="D204" i="1"/>
  <c r="D92" i="1"/>
  <c r="D7" i="1"/>
  <c r="D237" i="1"/>
  <c r="D280" i="1"/>
  <c r="D124" i="1"/>
  <c r="D262" i="1"/>
  <c r="D217" i="1"/>
  <c r="D163" i="1"/>
  <c r="D248" i="1"/>
  <c r="D176" i="1"/>
  <c r="D100" i="1"/>
  <c r="D264" i="1"/>
  <c r="D267" i="1"/>
  <c r="D238" i="1"/>
  <c r="D74" i="1"/>
  <c r="D106" i="1"/>
  <c r="D72" i="1"/>
  <c r="D189" i="1"/>
  <c r="D59" i="1"/>
  <c r="D214" i="1"/>
  <c r="D222" i="1"/>
  <c r="D284" i="1"/>
  <c r="D268" i="1"/>
  <c r="D226" i="1"/>
  <c r="D186" i="1"/>
  <c r="D202" i="1"/>
  <c r="D273" i="1"/>
  <c r="D271" i="1"/>
  <c r="D235" i="1"/>
  <c r="D97" i="1"/>
  <c r="D169" i="1"/>
  <c r="D94" i="1"/>
  <c r="D51" i="1"/>
  <c r="D249" i="1"/>
  <c r="D156" i="1"/>
  <c r="D231" i="1"/>
  <c r="D250" i="1"/>
  <c r="D140" i="1"/>
  <c r="D122" i="1"/>
  <c r="D173" i="1"/>
  <c r="D13" i="1"/>
  <c r="D25" i="1"/>
  <c r="D22" i="1"/>
  <c r="D2" i="1"/>
</calcChain>
</file>

<file path=xl/sharedStrings.xml><?xml version="1.0" encoding="utf-8"?>
<sst xmlns="http://schemas.openxmlformats.org/spreadsheetml/2006/main" count="1794" uniqueCount="854">
  <si>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</si>
  <si>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</si>
  <si>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</si>
  <si>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</si>
  <si>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</si>
  <si>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</si>
  <si>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</si>
  <si>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</si>
  <si>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</si>
  <si>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귀걸이</t>
  </si>
  <si>
    <t>7,150</t>
  </si>
  <si>
    <t>61,200</t>
  </si>
  <si>
    <t>2.04%</t>
  </si>
  <si>
    <t>3.42%</t>
  </si>
  <si>
    <t>높음</t>
  </si>
  <si>
    <t>2,160</t>
  </si>
  <si>
    <t>23,500</t>
  </si>
  <si>
    <t>3.11%</t>
  </si>
  <si>
    <t>2.82%</t>
  </si>
  <si>
    <t>진주목걸이</t>
  </si>
  <si>
    <t>1,800</t>
  </si>
  <si>
    <t>19,500</t>
  </si>
  <si>
    <t>3.34%</t>
  </si>
  <si>
    <t>3.31%</t>
  </si>
  <si>
    <t>14K귀걸이</t>
  </si>
  <si>
    <t>4,410</t>
  </si>
  <si>
    <t>46,800</t>
  </si>
  <si>
    <t>3.45%</t>
  </si>
  <si>
    <t>3.15%</t>
  </si>
  <si>
    <t>14K진주귀걸이</t>
  </si>
  <si>
    <t>240</t>
  </si>
  <si>
    <t>3,160</t>
  </si>
  <si>
    <t>1.99%</t>
  </si>
  <si>
    <t>2.2%</t>
  </si>
  <si>
    <t>진주팔찌</t>
  </si>
  <si>
    <t>250</t>
  </si>
  <si>
    <t>3,150</t>
  </si>
  <si>
    <t>1.1%</t>
  </si>
  <si>
    <t>2.55%</t>
  </si>
  <si>
    <t>18K귀걸이</t>
  </si>
  <si>
    <t>1,210</t>
  </si>
  <si>
    <t>13,000</t>
  </si>
  <si>
    <t>4.45%</t>
  </si>
  <si>
    <t>4.13%</t>
  </si>
  <si>
    <t>금귀걸이</t>
  </si>
  <si>
    <t>1,250</t>
  </si>
  <si>
    <t>8,450</t>
  </si>
  <si>
    <t>2.1%</t>
  </si>
  <si>
    <t>2.72%</t>
  </si>
  <si>
    <t>실버925귀걸이</t>
  </si>
  <si>
    <t>80</t>
  </si>
  <si>
    <t>930</t>
  </si>
  <si>
    <t>2.69%</t>
  </si>
  <si>
    <t>3.99%</t>
  </si>
  <si>
    <t>목걸이</t>
  </si>
  <si>
    <t>6,150</t>
  </si>
  <si>
    <t>52,200</t>
  </si>
  <si>
    <t>1.27%</t>
  </si>
  <si>
    <t>1.48%</t>
  </si>
  <si>
    <t>14K링귀걸이</t>
  </si>
  <si>
    <t>700</t>
  </si>
  <si>
    <t>8,250</t>
  </si>
  <si>
    <t>2.08%</t>
  </si>
  <si>
    <t>2.43%</t>
  </si>
  <si>
    <t>악세사리</t>
  </si>
  <si>
    <t>3,000</t>
  </si>
  <si>
    <t>8,460</t>
  </si>
  <si>
    <t>0.36%</t>
  </si>
  <si>
    <t>1.09%</t>
  </si>
  <si>
    <t>진주반지</t>
  </si>
  <si>
    <t>350</t>
  </si>
  <si>
    <t>4,230</t>
  </si>
  <si>
    <t>1.85%</t>
  </si>
  <si>
    <t>2.95%</t>
  </si>
  <si>
    <t>2,860</t>
  </si>
  <si>
    <t>32,900</t>
  </si>
  <si>
    <t>2.47%</t>
  </si>
  <si>
    <t>2.62%</t>
  </si>
  <si>
    <t>링귀걸이</t>
  </si>
  <si>
    <t>1,550</t>
  </si>
  <si>
    <t>16,900</t>
  </si>
  <si>
    <t>1.96%</t>
  </si>
  <si>
    <t>티파니진주목걸이</t>
  </si>
  <si>
    <t>10</t>
  </si>
  <si>
    <t>180</t>
  </si>
  <si>
    <t>7.15%</t>
  </si>
  <si>
    <t>3.18%</t>
  </si>
  <si>
    <t>귀걸이쇼핑몰</t>
  </si>
  <si>
    <t>270</t>
  </si>
  <si>
    <t>2,190</t>
  </si>
  <si>
    <t>6.74%</t>
  </si>
  <si>
    <t>10.64%</t>
  </si>
  <si>
    <t>금목걸이</t>
  </si>
  <si>
    <t>3,210</t>
  </si>
  <si>
    <t>26,900</t>
  </si>
  <si>
    <t>1.75%</t>
  </si>
  <si>
    <t>2.01%</t>
  </si>
  <si>
    <t>은귀걸이</t>
  </si>
  <si>
    <t>890</t>
  </si>
  <si>
    <t>7,990</t>
  </si>
  <si>
    <t>3.06%</t>
  </si>
  <si>
    <t>3.39%</t>
  </si>
  <si>
    <t>실버귀걸이</t>
  </si>
  <si>
    <t>670</t>
  </si>
  <si>
    <t>5,610</t>
  </si>
  <si>
    <t>3.2%</t>
  </si>
  <si>
    <t>2.83%</t>
  </si>
  <si>
    <t>10만원대귀걸이</t>
  </si>
  <si>
    <t>20</t>
  </si>
  <si>
    <t>60</t>
  </si>
  <si>
    <t>-</t>
  </si>
  <si>
    <t>0.49%</t>
  </si>
  <si>
    <t>4%</t>
  </si>
  <si>
    <t>20만원대귀걸이</t>
  </si>
  <si>
    <t>1.97%</t>
  </si>
  <si>
    <t>0.34%</t>
  </si>
  <si>
    <t>30</t>
  </si>
  <si>
    <t>여성귀걸이추천</t>
  </si>
  <si>
    <t>70</t>
  </si>
  <si>
    <t>4.17%</t>
  </si>
  <si>
    <t>5.08%</t>
  </si>
  <si>
    <t>120</t>
  </si>
  <si>
    <t>5%</t>
  </si>
  <si>
    <t>중간</t>
  </si>
  <si>
    <t>별귀걸이</t>
  </si>
  <si>
    <t>50</t>
  </si>
  <si>
    <t>520</t>
  </si>
  <si>
    <t>1.03%</t>
  </si>
  <si>
    <t>1.39%</t>
  </si>
  <si>
    <t>40대귀걸이브랜드</t>
  </si>
  <si>
    <t>1.91%</t>
  </si>
  <si>
    <t>3.72%</t>
  </si>
  <si>
    <t>40</t>
  </si>
  <si>
    <t>90</t>
  </si>
  <si>
    <t>0.97%</t>
  </si>
  <si>
    <t>1.16%</t>
  </si>
  <si>
    <t>2.05%</t>
  </si>
  <si>
    <t>드롭이어링</t>
  </si>
  <si>
    <t>380</t>
  </si>
  <si>
    <t>1.12%</t>
  </si>
  <si>
    <t>2.29%</t>
  </si>
  <si>
    <t>리본진주귀걸이</t>
  </si>
  <si>
    <t>210</t>
  </si>
  <si>
    <t>0.87%</t>
  </si>
  <si>
    <t>볼드실버귀걸이</t>
  </si>
  <si>
    <t>3.97%</t>
  </si>
  <si>
    <t>블랙하트귀걸이</t>
  </si>
  <si>
    <t>0.38%</t>
  </si>
  <si>
    <t>110</t>
  </si>
  <si>
    <t>1.43%</t>
  </si>
  <si>
    <t>0.91%</t>
  </si>
  <si>
    <t>유행귀걸이</t>
  </si>
  <si>
    <t>160</t>
  </si>
  <si>
    <t>3.73%</t>
  </si>
  <si>
    <t>은귀고리</t>
  </si>
  <si>
    <t>9.42%</t>
  </si>
  <si>
    <t>4.72%</t>
  </si>
  <si>
    <t>홍대귀걸이</t>
  </si>
  <si>
    <t>1.56%</t>
  </si>
  <si>
    <t>0.79%</t>
  </si>
  <si>
    <t>귀고리</t>
  </si>
  <si>
    <t>280</t>
  </si>
  <si>
    <t>1,660</t>
  </si>
  <si>
    <t>1.64%</t>
  </si>
  <si>
    <t>귀걸이사이트</t>
  </si>
  <si>
    <t>8.67%</t>
  </si>
  <si>
    <t>12.1%</t>
  </si>
  <si>
    <t>하객룩귀걸이</t>
  </si>
  <si>
    <t>3.58%</t>
  </si>
  <si>
    <t>4.42%</t>
  </si>
  <si>
    <t>실버볼드귀걸이</t>
  </si>
  <si>
    <t>1.6%</t>
  </si>
  <si>
    <t>4.87%</t>
  </si>
  <si>
    <t>2.73%</t>
  </si>
  <si>
    <t>3.93%</t>
  </si>
  <si>
    <t>실버이어링</t>
  </si>
  <si>
    <t>1.77%</t>
  </si>
  <si>
    <t>3.21%</t>
  </si>
  <si>
    <t>2.28%</t>
  </si>
  <si>
    <t>2.68%</t>
  </si>
  <si>
    <t>1.84%</t>
  </si>
  <si>
    <t>40대여성귀걸이</t>
  </si>
  <si>
    <t>0.85%</t>
  </si>
  <si>
    <t>2.19%</t>
  </si>
  <si>
    <t>데일리진주귀걸이</t>
  </si>
  <si>
    <t>4.55%</t>
  </si>
  <si>
    <t>여자금귀걸이</t>
  </si>
  <si>
    <t>5.96%</t>
  </si>
  <si>
    <t>2.4%</t>
  </si>
  <si>
    <t>은귀걸이브랜드</t>
  </si>
  <si>
    <t>5.99%</t>
  </si>
  <si>
    <t>나비귀걸이</t>
  </si>
  <si>
    <t>800</t>
  </si>
  <si>
    <t>0.17%</t>
  </si>
  <si>
    <t>2.27%</t>
  </si>
  <si>
    <t>귀걸이쇼핑몰추천</t>
  </si>
  <si>
    <t>7.28%</t>
  </si>
  <si>
    <t>8.63%</t>
  </si>
  <si>
    <t>6.25%</t>
  </si>
  <si>
    <t>925귀걸이</t>
  </si>
  <si>
    <t>2.21%</t>
  </si>
  <si>
    <t>1.81%</t>
  </si>
  <si>
    <t>데일리귀걸이</t>
  </si>
  <si>
    <t>470</t>
  </si>
  <si>
    <t>4,000</t>
  </si>
  <si>
    <t>2.53%</t>
  </si>
  <si>
    <t>2.24%</t>
  </si>
  <si>
    <t>귀걸이브랜드</t>
  </si>
  <si>
    <t>300</t>
  </si>
  <si>
    <t>1,480</t>
  </si>
  <si>
    <t>1.22%</t>
  </si>
  <si>
    <t>실버볼귀걸이</t>
  </si>
  <si>
    <t>360</t>
  </si>
  <si>
    <t>2.48%</t>
  </si>
  <si>
    <t>귀여운귀걸이</t>
  </si>
  <si>
    <t>2.38%</t>
  </si>
  <si>
    <t>리본귀걸이</t>
  </si>
  <si>
    <t>130</t>
  </si>
  <si>
    <t>1,890</t>
  </si>
  <si>
    <t>1.21%</t>
  </si>
  <si>
    <t>1.69%</t>
  </si>
  <si>
    <t>6.37%</t>
  </si>
  <si>
    <t>줄귀걸이</t>
  </si>
  <si>
    <t>3.05%</t>
  </si>
  <si>
    <t>별모양귀걸이</t>
  </si>
  <si>
    <t>150</t>
  </si>
  <si>
    <t>0.43%</t>
  </si>
  <si>
    <t>엄마귀걸이</t>
  </si>
  <si>
    <t>1.93%</t>
  </si>
  <si>
    <t>2.46%</t>
  </si>
  <si>
    <t>악세사리귀걸이</t>
  </si>
  <si>
    <t>290</t>
  </si>
  <si>
    <t>8.22%</t>
  </si>
  <si>
    <t>8.04%</t>
  </si>
  <si>
    <t>링귀걸이추천</t>
  </si>
  <si>
    <t>화이트골드링귀걸이</t>
  </si>
  <si>
    <t>390</t>
  </si>
  <si>
    <t>2.6%</t>
  </si>
  <si>
    <t>1.73%</t>
  </si>
  <si>
    <t>후크귀걸이</t>
  </si>
  <si>
    <t>0.75%</t>
  </si>
  <si>
    <t>금귀걸이가격</t>
  </si>
  <si>
    <t>3.13%</t>
  </si>
  <si>
    <t>1.57%</t>
  </si>
  <si>
    <t>투웨이귀걸이</t>
  </si>
  <si>
    <t>3.37%</t>
  </si>
  <si>
    <t>2.67%</t>
  </si>
  <si>
    <t>2.23%</t>
  </si>
  <si>
    <t>1.25%</t>
  </si>
  <si>
    <t>3.95%</t>
  </si>
  <si>
    <t>2.88%</t>
  </si>
  <si>
    <t>금귀걸이브랜드</t>
  </si>
  <si>
    <t>1.14%</t>
  </si>
  <si>
    <t>100</t>
  </si>
  <si>
    <t>1.67%</t>
  </si>
  <si>
    <t>삼색귀걸이</t>
  </si>
  <si>
    <t>0.28%</t>
  </si>
  <si>
    <t>큐빅14K귀걸이</t>
  </si>
  <si>
    <t>3.38%</t>
  </si>
  <si>
    <t>롱귀걸이</t>
  </si>
  <si>
    <t>600</t>
  </si>
  <si>
    <t>2.44%</t>
  </si>
  <si>
    <t>여자귀걸이</t>
  </si>
  <si>
    <t>320</t>
  </si>
  <si>
    <t>2,440</t>
  </si>
  <si>
    <t>귀걸이추천</t>
  </si>
  <si>
    <t>1.32%</t>
  </si>
  <si>
    <t>링드롭귀걸이</t>
  </si>
  <si>
    <t>예쁜귀걸이</t>
  </si>
  <si>
    <t>490</t>
  </si>
  <si>
    <t>5.53%</t>
  </si>
  <si>
    <t>10.1%</t>
  </si>
  <si>
    <t>여성귀걸이</t>
  </si>
  <si>
    <t>1,110</t>
  </si>
  <si>
    <t>2.94%</t>
  </si>
  <si>
    <t>4.76%</t>
  </si>
  <si>
    <t>실버925링귀걸이</t>
  </si>
  <si>
    <t>3.41%</t>
  </si>
  <si>
    <t>5.19%</t>
  </si>
  <si>
    <t>0.72%</t>
  </si>
  <si>
    <t>귀걸이실버</t>
  </si>
  <si>
    <t>7.8%</t>
  </si>
  <si>
    <t>0.93%</t>
  </si>
  <si>
    <t>140</t>
  </si>
  <si>
    <t>1,440</t>
  </si>
  <si>
    <t>4.82%</t>
  </si>
  <si>
    <t>이어링</t>
  </si>
  <si>
    <t>340</t>
  </si>
  <si>
    <t>2,140</t>
  </si>
  <si>
    <t>귀안뚫은귀걸이</t>
  </si>
  <si>
    <t>880</t>
  </si>
  <si>
    <t>6.82%</t>
  </si>
  <si>
    <t>은볼귀걸이</t>
  </si>
  <si>
    <t>310</t>
  </si>
  <si>
    <t>5.44%</t>
  </si>
  <si>
    <t>여자귀걸이추천</t>
  </si>
  <si>
    <t>3.63%</t>
  </si>
  <si>
    <t>5.56%</t>
  </si>
  <si>
    <t>2.66%</t>
  </si>
  <si>
    <t>드롭형귀걸이</t>
  </si>
  <si>
    <t>0.57%</t>
  </si>
  <si>
    <t>1.82%</t>
  </si>
  <si>
    <t>귀걸이브랜드추천</t>
  </si>
  <si>
    <t>370</t>
  </si>
  <si>
    <t>1.59%</t>
  </si>
  <si>
    <t>2.16%</t>
  </si>
  <si>
    <t>18K귀걸이가격</t>
  </si>
  <si>
    <t>410</t>
  </si>
  <si>
    <t>6.05%</t>
  </si>
  <si>
    <t>3.02%</t>
  </si>
  <si>
    <t>긴귀걸이</t>
  </si>
  <si>
    <t>200</t>
  </si>
  <si>
    <t>0.19%</t>
  </si>
  <si>
    <t>실버드롭귀걸이</t>
  </si>
  <si>
    <t>4.59%</t>
  </si>
  <si>
    <t>여자18K귀걸이</t>
  </si>
  <si>
    <t>5.94%</t>
  </si>
  <si>
    <t>원터치은귀걸이</t>
  </si>
  <si>
    <t>6.92%</t>
  </si>
  <si>
    <t>0.77%</t>
  </si>
  <si>
    <t>드롭귀걸이</t>
  </si>
  <si>
    <t>4,490</t>
  </si>
  <si>
    <t>1.06%</t>
  </si>
  <si>
    <t>1.4%</t>
  </si>
  <si>
    <t>결혼식귀걸이</t>
  </si>
  <si>
    <t>400</t>
  </si>
  <si>
    <t>골드귀걸이</t>
  </si>
  <si>
    <t>780</t>
  </si>
  <si>
    <t>3.53%</t>
  </si>
  <si>
    <t>10%</t>
  </si>
  <si>
    <t>여자은귀걸이</t>
  </si>
  <si>
    <t>11.88%</t>
  </si>
  <si>
    <t>체인드롭귀걸이</t>
  </si>
  <si>
    <t>은침귀걸이</t>
  </si>
  <si>
    <t>770</t>
  </si>
  <si>
    <t>3.56%</t>
  </si>
  <si>
    <t>4.12%</t>
  </si>
  <si>
    <t>블랙귀걸이</t>
  </si>
  <si>
    <t>2.39%</t>
  </si>
  <si>
    <t>명품귀걸이</t>
  </si>
  <si>
    <t>1,120</t>
  </si>
  <si>
    <t>12,200</t>
  </si>
  <si>
    <t>2.8%</t>
  </si>
  <si>
    <t>14K큐빅귀걸이</t>
  </si>
  <si>
    <t>1,040</t>
  </si>
  <si>
    <t>1.26%</t>
  </si>
  <si>
    <t>2.36%</t>
  </si>
  <si>
    <t>브랜드귀걸이</t>
  </si>
  <si>
    <t>1%</t>
  </si>
  <si>
    <t>1.87%</t>
  </si>
  <si>
    <t>겨울귀걸이</t>
  </si>
  <si>
    <t>2.15%</t>
  </si>
  <si>
    <t>3.48%</t>
  </si>
  <si>
    <t>순은귀걸이</t>
  </si>
  <si>
    <t>950</t>
  </si>
  <si>
    <t>2.35%</t>
  </si>
  <si>
    <t>4.27%</t>
  </si>
  <si>
    <t>볼륨귀걸이</t>
  </si>
  <si>
    <t>170</t>
  </si>
  <si>
    <t>3.25%</t>
  </si>
  <si>
    <t>5.05%</t>
  </si>
  <si>
    <t>트리플귀걸이</t>
  </si>
  <si>
    <t>0.31%</t>
  </si>
  <si>
    <t>후프귀걸이</t>
  </si>
  <si>
    <t>1.83%</t>
  </si>
  <si>
    <t>알레르기없는귀걸이</t>
  </si>
  <si>
    <t>1.79%</t>
  </si>
  <si>
    <t>2.93%</t>
  </si>
  <si>
    <t>롱드롭귀걸이</t>
  </si>
  <si>
    <t>원터치드롭귀걸이</t>
  </si>
  <si>
    <t>3.74%</t>
  </si>
  <si>
    <t>1.98%</t>
  </si>
  <si>
    <t>30대귀걸이</t>
  </si>
  <si>
    <t>3.91%</t>
  </si>
  <si>
    <t>여자친구귀걸이</t>
  </si>
  <si>
    <t>190</t>
  </si>
  <si>
    <t>1.2%</t>
  </si>
  <si>
    <t>14K볼드귀걸이</t>
  </si>
  <si>
    <t>430</t>
  </si>
  <si>
    <t>0.84%</t>
  </si>
  <si>
    <t>18K링귀걸이</t>
  </si>
  <si>
    <t>2,370</t>
  </si>
  <si>
    <t>2.85%</t>
  </si>
  <si>
    <t>2.89%</t>
  </si>
  <si>
    <t>악세사리브랜드</t>
  </si>
  <si>
    <t>1,570</t>
  </si>
  <si>
    <t>2.14%</t>
  </si>
  <si>
    <t>스터드귀걸이</t>
  </si>
  <si>
    <t>여자친구귀걸이선물</t>
  </si>
  <si>
    <t>여자귀걸이브랜드</t>
  </si>
  <si>
    <t>860</t>
  </si>
  <si>
    <t>0.68%</t>
  </si>
  <si>
    <t>금볼귀걸이</t>
  </si>
  <si>
    <t>420</t>
  </si>
  <si>
    <t>3.01%</t>
  </si>
  <si>
    <t>특이한귀걸이</t>
  </si>
  <si>
    <t>5.18%</t>
  </si>
  <si>
    <t>14K핀귀걸이</t>
  </si>
  <si>
    <t>14K롱귀걸이</t>
  </si>
  <si>
    <t>18K금귀걸이</t>
  </si>
  <si>
    <t>220</t>
  </si>
  <si>
    <t>3.35%</t>
  </si>
  <si>
    <t>와이프귀걸이</t>
  </si>
  <si>
    <t>볼드한귀걸이</t>
  </si>
  <si>
    <t>3.81%</t>
  </si>
  <si>
    <t>3.83%</t>
  </si>
  <si>
    <t>14K심플귀걸이</t>
  </si>
  <si>
    <t>2.5%</t>
  </si>
  <si>
    <t>5.23%</t>
  </si>
  <si>
    <t>화려한귀걸이</t>
  </si>
  <si>
    <t>500</t>
  </si>
  <si>
    <t>3.26%</t>
  </si>
  <si>
    <t>5.48%</t>
  </si>
  <si>
    <t>패션귀걸이</t>
  </si>
  <si>
    <t>5.63%</t>
  </si>
  <si>
    <t>6.12%</t>
  </si>
  <si>
    <t>여자14K귀걸이</t>
  </si>
  <si>
    <t>4.47%</t>
  </si>
  <si>
    <t>6.02%</t>
  </si>
  <si>
    <t>침귀걸이</t>
  </si>
  <si>
    <t>1.71%</t>
  </si>
  <si>
    <t>원터치귀걸이</t>
  </si>
  <si>
    <t>5,950</t>
  </si>
  <si>
    <t>1.9%</t>
  </si>
  <si>
    <t>3.1%</t>
  </si>
  <si>
    <t>60대귀걸이</t>
  </si>
  <si>
    <t>2%</t>
  </si>
  <si>
    <t>2.61%</t>
  </si>
  <si>
    <t>꽃귀걸이</t>
  </si>
  <si>
    <t>0.24%</t>
  </si>
  <si>
    <t>1.66%</t>
  </si>
  <si>
    <t>2.86%</t>
  </si>
  <si>
    <t>악세사리사이트</t>
  </si>
  <si>
    <t>실버링귀걸이</t>
  </si>
  <si>
    <t>3,060</t>
  </si>
  <si>
    <t>2.45%</t>
  </si>
  <si>
    <t>0.59%</t>
  </si>
  <si>
    <t>큐빅드롭귀걸이</t>
  </si>
  <si>
    <t>귀걸이악세사리</t>
  </si>
  <si>
    <t>8.85%</t>
  </si>
  <si>
    <t>볼드귀걸이</t>
  </si>
  <si>
    <t>1,960</t>
  </si>
  <si>
    <t>2.31%</t>
  </si>
  <si>
    <t>14K원터치귀걸이</t>
  </si>
  <si>
    <t>2,770</t>
  </si>
  <si>
    <t>4.07%</t>
  </si>
  <si>
    <t>3%</t>
  </si>
  <si>
    <t>물방울귀걸이</t>
  </si>
  <si>
    <t>2,350</t>
  </si>
  <si>
    <t>2.9%</t>
  </si>
  <si>
    <t>14K귀걸이가격</t>
  </si>
  <si>
    <t>450</t>
  </si>
  <si>
    <t>1.44%</t>
  </si>
  <si>
    <t>골드이어링</t>
  </si>
  <si>
    <t>2.42%</t>
  </si>
  <si>
    <t>5.62%</t>
  </si>
  <si>
    <t>금링귀걸이</t>
  </si>
  <si>
    <t>1,320</t>
  </si>
  <si>
    <t>2.06%</t>
  </si>
  <si>
    <t>14K화이트골드귀걸이</t>
  </si>
  <si>
    <t>3.62%</t>
  </si>
  <si>
    <t>큐빅귀걸이</t>
  </si>
  <si>
    <t>3,520</t>
  </si>
  <si>
    <t>3.04%</t>
  </si>
  <si>
    <t>금귀걸이링</t>
  </si>
  <si>
    <t>1.3%</t>
  </si>
  <si>
    <t>심플한귀걸이</t>
  </si>
  <si>
    <t>4.22%</t>
  </si>
  <si>
    <t>귀걸이18K</t>
  </si>
  <si>
    <t>귀걸이14K</t>
  </si>
  <si>
    <t>3.78%</t>
  </si>
  <si>
    <t>블랙링귀걸이</t>
  </si>
  <si>
    <t>14K귀걸이추천</t>
  </si>
  <si>
    <t>7.02%</t>
  </si>
  <si>
    <t>액세서리브랜드</t>
  </si>
  <si>
    <t>1.37%</t>
  </si>
  <si>
    <t>14K골드귀걸이</t>
  </si>
  <si>
    <t>6.95%</t>
  </si>
  <si>
    <t>3.43%</t>
  </si>
  <si>
    <t>금귀고리</t>
  </si>
  <si>
    <t>1.76%</t>
  </si>
  <si>
    <t>로이드귀걸이</t>
  </si>
  <si>
    <t>760</t>
  </si>
  <si>
    <t>8,410</t>
  </si>
  <si>
    <t>0.32%</t>
  </si>
  <si>
    <t>0.9%</t>
  </si>
  <si>
    <t>꼬임링귀걸이</t>
  </si>
  <si>
    <t>2.32%</t>
  </si>
  <si>
    <t>7.5%</t>
  </si>
  <si>
    <t>14K드롭귀걸이</t>
  </si>
  <si>
    <t>640</t>
  </si>
  <si>
    <t>1.42%</t>
  </si>
  <si>
    <t>데일리링귀걸이</t>
  </si>
  <si>
    <t>2.58%</t>
  </si>
  <si>
    <t>화이트골드귀걸이</t>
  </si>
  <si>
    <t>1,690</t>
  </si>
  <si>
    <t>1.41%</t>
  </si>
  <si>
    <t>1.45%</t>
  </si>
  <si>
    <t>여성귀걸이브랜드</t>
  </si>
  <si>
    <t>4.04%</t>
  </si>
  <si>
    <t>비즈귀걸이</t>
  </si>
  <si>
    <t>2.76%</t>
  </si>
  <si>
    <t>이어커프귀걸이</t>
  </si>
  <si>
    <t>1,330</t>
  </si>
  <si>
    <t>1.15%</t>
  </si>
  <si>
    <t>2.33%</t>
  </si>
  <si>
    <t>체인귀걸이</t>
  </si>
  <si>
    <t>560</t>
  </si>
  <si>
    <t>0.55%</t>
  </si>
  <si>
    <t>사각링귀걸이</t>
  </si>
  <si>
    <t>0.2%</t>
  </si>
  <si>
    <t>14K원터치링귀걸이</t>
  </si>
  <si>
    <t>540</t>
  </si>
  <si>
    <t>4.49%</t>
  </si>
  <si>
    <t>14귀걸이</t>
  </si>
  <si>
    <t>630</t>
  </si>
  <si>
    <t>2.26%</t>
  </si>
  <si>
    <t>원터치금귀걸이</t>
  </si>
  <si>
    <t>925실버귀걸이</t>
  </si>
  <si>
    <t>550</t>
  </si>
  <si>
    <t>6.67%</t>
  </si>
  <si>
    <t>5.17%</t>
  </si>
  <si>
    <t>14K미니귀걸이</t>
  </si>
  <si>
    <t>330</t>
  </si>
  <si>
    <t>5.31%</t>
  </si>
  <si>
    <t>20대귀걸이</t>
  </si>
  <si>
    <t>1.34%</t>
  </si>
  <si>
    <t>3.68%</t>
  </si>
  <si>
    <t>미니귀걸이</t>
  </si>
  <si>
    <t>650</t>
  </si>
  <si>
    <t>3.16%</t>
  </si>
  <si>
    <t>20대여자귀걸이</t>
  </si>
  <si>
    <t>2.09%</t>
  </si>
  <si>
    <t>50대귀걸이</t>
  </si>
  <si>
    <t>260</t>
  </si>
  <si>
    <t>2.34%</t>
  </si>
  <si>
    <t>5.12%</t>
  </si>
  <si>
    <t>18K침귀걸이</t>
  </si>
  <si>
    <t>9.56%</t>
  </si>
  <si>
    <t>4.2%</t>
  </si>
  <si>
    <t>14K금귀걸이</t>
  </si>
  <si>
    <t>1.63%</t>
  </si>
  <si>
    <t>1.89%</t>
  </si>
  <si>
    <t>백금귀걸이</t>
  </si>
  <si>
    <t>1,020</t>
  </si>
  <si>
    <t>볼드링귀걸이</t>
  </si>
  <si>
    <t>1,260</t>
  </si>
  <si>
    <t>3.12%</t>
  </si>
  <si>
    <t>골드링귀걸이</t>
  </si>
  <si>
    <t>900</t>
  </si>
  <si>
    <t>1.54%</t>
  </si>
  <si>
    <t>18K원터치귀걸이</t>
  </si>
  <si>
    <t>1,000</t>
  </si>
  <si>
    <t>1.36%</t>
  </si>
  <si>
    <t>심플귀걸이</t>
  </si>
  <si>
    <t>꼬임귀걸이</t>
  </si>
  <si>
    <t>660</t>
  </si>
  <si>
    <t>0.21%</t>
  </si>
  <si>
    <t>3.59%</t>
  </si>
  <si>
    <t>2.81%</t>
  </si>
  <si>
    <t>30대귀걸이브랜드</t>
  </si>
  <si>
    <t>14케이귀걸이</t>
  </si>
  <si>
    <t>970</t>
  </si>
  <si>
    <t>4.48%</t>
  </si>
  <si>
    <t>볼귀걸이</t>
  </si>
  <si>
    <t>2,540</t>
  </si>
  <si>
    <t>14K데일리귀걸이</t>
  </si>
  <si>
    <t>3.66%</t>
  </si>
  <si>
    <t>하트귀걸이</t>
  </si>
  <si>
    <t>1,590</t>
  </si>
  <si>
    <t>0.62%</t>
  </si>
  <si>
    <t>아이유귀걸이</t>
  </si>
  <si>
    <t>590</t>
  </si>
  <si>
    <t>1.23%</t>
  </si>
  <si>
    <t>귀걸이선물</t>
  </si>
  <si>
    <t>귀걸이뒷침</t>
  </si>
  <si>
    <t>0.96%</t>
  </si>
  <si>
    <t>3.27%</t>
  </si>
  <si>
    <t>링귀고리</t>
  </si>
  <si>
    <t>14K미니링귀걸이</t>
  </si>
  <si>
    <t>4.35%</t>
  </si>
  <si>
    <t>18K큐빅귀걸이</t>
  </si>
  <si>
    <t>원터치볼귀걸이</t>
  </si>
  <si>
    <t>4.75%</t>
  </si>
  <si>
    <t>진주원터치귀걸이</t>
  </si>
  <si>
    <t>3.86%</t>
  </si>
  <si>
    <t>원터치링</t>
  </si>
  <si>
    <t>0.99%</t>
  </si>
  <si>
    <t>이어커프귀찌</t>
  </si>
  <si>
    <t>포인트귀걸이</t>
  </si>
  <si>
    <t>드롭귀걸이14K</t>
  </si>
  <si>
    <t>4.09%</t>
  </si>
  <si>
    <t>원터치귀걸이14K</t>
  </si>
  <si>
    <t>3.85%</t>
  </si>
  <si>
    <t>4.1%</t>
  </si>
  <si>
    <t>14K볼드링귀걸이</t>
  </si>
  <si>
    <t>14K스틱귀걸이</t>
  </si>
  <si>
    <t>1.04%</t>
  </si>
  <si>
    <t>데일리금귀걸이</t>
  </si>
  <si>
    <t>3.07%</t>
  </si>
  <si>
    <t>40대귀걸이</t>
  </si>
  <si>
    <t>3.14%</t>
  </si>
  <si>
    <t>파이프링귀걸이</t>
  </si>
  <si>
    <t>스와로브스키귀걸이</t>
  </si>
  <si>
    <t>1,060</t>
  </si>
  <si>
    <t>13,400</t>
  </si>
  <si>
    <t>14K꽃귀걸이</t>
  </si>
  <si>
    <t>18K데일리귀걸이</t>
  </si>
  <si>
    <t>4.26%</t>
  </si>
  <si>
    <t>클립귀걸이</t>
  </si>
  <si>
    <t>30대여자귀걸이브랜드</t>
  </si>
  <si>
    <t>컷팅링귀걸이</t>
  </si>
  <si>
    <t>2.41%</t>
  </si>
  <si>
    <t>신부귀걸이</t>
  </si>
  <si>
    <t>5.33%</t>
  </si>
  <si>
    <t>14K침귀걸이</t>
  </si>
  <si>
    <t>5.3%</t>
  </si>
  <si>
    <t>링귀걸이14K</t>
  </si>
  <si>
    <t>680</t>
  </si>
  <si>
    <t>3.32%</t>
  </si>
  <si>
    <t>14K물방울귀걸이</t>
  </si>
  <si>
    <t>3.22%</t>
  </si>
  <si>
    <t>3.88%</t>
  </si>
  <si>
    <t>18K드롭귀걸이</t>
  </si>
  <si>
    <t>5.91%</t>
  </si>
  <si>
    <t>하객귀걸이</t>
  </si>
  <si>
    <t>4.85%</t>
  </si>
  <si>
    <t>원터치링귀걸이</t>
  </si>
  <si>
    <t>2.49%</t>
  </si>
  <si>
    <t>로즈골드귀걸이</t>
  </si>
  <si>
    <t>알러지없는귀걸이</t>
  </si>
  <si>
    <t>4.69%</t>
  </si>
  <si>
    <t>귀걸이세일</t>
  </si>
  <si>
    <t>실버이어커프</t>
  </si>
  <si>
    <t>0.5%</t>
  </si>
  <si>
    <t>로즈골드링귀걸이</t>
  </si>
  <si>
    <t>귀걸이링</t>
  </si>
  <si>
    <t>4.51%</t>
  </si>
  <si>
    <t>미니링귀걸이</t>
  </si>
  <si>
    <t>2.98%</t>
  </si>
  <si>
    <t>패션악세사리</t>
  </si>
  <si>
    <t>3.76%</t>
  </si>
  <si>
    <t>대학생귀걸이</t>
  </si>
  <si>
    <t>0.4%</t>
  </si>
  <si>
    <t>왕진주귀걸이</t>
  </si>
  <si>
    <t>480</t>
  </si>
  <si>
    <t>금침귀걸이</t>
  </si>
  <si>
    <t>6%</t>
  </si>
  <si>
    <t>0.98%</t>
  </si>
  <si>
    <t>14K귀찌</t>
  </si>
  <si>
    <t>5.15%</t>
  </si>
  <si>
    <t>무알러지귀걸이</t>
  </si>
  <si>
    <t>6.5%</t>
  </si>
  <si>
    <t>8.91%</t>
  </si>
  <si>
    <t>핑크골드귀걸이</t>
  </si>
  <si>
    <t>1.18%</t>
  </si>
  <si>
    <t>14K귀걸이원터치</t>
  </si>
  <si>
    <t>5.03%</t>
  </si>
  <si>
    <t>귀걸이한쪽만</t>
  </si>
  <si>
    <t>0.25%</t>
  </si>
  <si>
    <t>옐로우골드</t>
  </si>
  <si>
    <t>0.66%</t>
  </si>
  <si>
    <t>필그림귀걸이</t>
  </si>
  <si>
    <t>1.24%</t>
  </si>
  <si>
    <t>쥬얼리귀걸이</t>
  </si>
  <si>
    <t>18.75%</t>
  </si>
  <si>
    <t>5.35%</t>
  </si>
  <si>
    <t>악세사리샵</t>
  </si>
  <si>
    <t>1,630</t>
  </si>
  <si>
    <t>귓바퀴귀걸이</t>
  </si>
  <si>
    <t>0.3%</t>
  </si>
  <si>
    <t>매듭귀걸이</t>
  </si>
  <si>
    <t>0.18%</t>
  </si>
  <si>
    <t>큰귀걸이</t>
  </si>
  <si>
    <t>230</t>
  </si>
  <si>
    <t>무광실버귀걸이</t>
  </si>
  <si>
    <t>0.48%</t>
  </si>
  <si>
    <t>미니원터치귀걸이</t>
  </si>
  <si>
    <t>크리스탈귀걸이</t>
  </si>
  <si>
    <t>2.64%</t>
  </si>
  <si>
    <t>작은링귀걸이</t>
  </si>
  <si>
    <t>6.55%</t>
  </si>
  <si>
    <t>2.99%</t>
  </si>
  <si>
    <t>실버원터치귀걸이</t>
  </si>
  <si>
    <t>0.86%</t>
  </si>
  <si>
    <t>18K볼귀걸이</t>
  </si>
  <si>
    <t>투핀귀걸이</t>
  </si>
  <si>
    <t>1.7%</t>
  </si>
  <si>
    <t>가네시귀걸이</t>
  </si>
  <si>
    <t>0.6%</t>
  </si>
  <si>
    <t>원터치14K귀걸이</t>
  </si>
  <si>
    <t>4.46%</t>
  </si>
  <si>
    <t>명품금귀걸이</t>
  </si>
  <si>
    <t>2.96%</t>
  </si>
  <si>
    <t>연결귀걸이</t>
  </si>
  <si>
    <t>생일선물</t>
  </si>
  <si>
    <t>3,640</t>
  </si>
  <si>
    <t>22,900</t>
  </si>
  <si>
    <t>0.13%</t>
  </si>
  <si>
    <t>0.45%</t>
  </si>
  <si>
    <t>투링귀걸이</t>
  </si>
  <si>
    <t>실버액세서리</t>
  </si>
  <si>
    <t>1.86%</t>
  </si>
  <si>
    <t>14K클로버귀걸이</t>
  </si>
  <si>
    <t>1.53%</t>
  </si>
  <si>
    <t>언발란스귀걸이</t>
  </si>
  <si>
    <t>볼륨링귀걸이</t>
  </si>
  <si>
    <t>1.61%</t>
  </si>
  <si>
    <t>미러볼귀걸이</t>
  </si>
  <si>
    <t>링금귀걸이</t>
  </si>
  <si>
    <t>0.94%</t>
  </si>
  <si>
    <t>30대여자귀걸이</t>
  </si>
  <si>
    <t>4.25%</t>
  </si>
  <si>
    <t>작은귀걸이</t>
  </si>
  <si>
    <t>실버주얼리쇼핑몰</t>
  </si>
  <si>
    <t>8.78%</t>
  </si>
  <si>
    <t>14K귀걸이브랜드</t>
  </si>
  <si>
    <t>5.72%</t>
  </si>
  <si>
    <t>딱붙는귀걸이</t>
  </si>
  <si>
    <t>귀찌귀걸이</t>
  </si>
  <si>
    <t>720</t>
  </si>
  <si>
    <t>4.79%</t>
  </si>
  <si>
    <t>6.15%</t>
  </si>
  <si>
    <t>종로귀걸이</t>
  </si>
  <si>
    <t>3.49%</t>
  </si>
  <si>
    <t>5.41%</t>
  </si>
  <si>
    <t>큐빅링귀걸이</t>
  </si>
  <si>
    <t>볼라레귀걸이</t>
  </si>
  <si>
    <t>네잎클로버귀걸이</t>
  </si>
  <si>
    <t>4.83%</t>
  </si>
  <si>
    <t>18K귀걸이원터치</t>
  </si>
  <si>
    <t>14K샤넬귀걸이</t>
  </si>
  <si>
    <t>4.8%</t>
  </si>
  <si>
    <t>연예인협찬쇼핑몰</t>
  </si>
  <si>
    <t>은색귀걸이</t>
  </si>
  <si>
    <t>샹들리에귀걸이</t>
  </si>
  <si>
    <t>실버진주귀걸이</t>
  </si>
  <si>
    <t>14K로즈골드귀걸이</t>
  </si>
  <si>
    <t>심플링귀걸이</t>
  </si>
  <si>
    <t>에메랄드컷귀걸이</t>
  </si>
  <si>
    <t>0.83%</t>
  </si>
  <si>
    <t>18K원터치링귀걸이</t>
  </si>
  <si>
    <t>510</t>
  </si>
  <si>
    <t>사각귀걸이</t>
  </si>
  <si>
    <t>14K하트귀걸이</t>
  </si>
  <si>
    <t>1.62%</t>
  </si>
  <si>
    <t>웨딩귀걸이</t>
  </si>
  <si>
    <t>1,200</t>
  </si>
  <si>
    <t>14K명품귀걸이</t>
  </si>
  <si>
    <t>0.35%</t>
  </si>
  <si>
    <t>스퀘어귀걸이</t>
  </si>
  <si>
    <t>반클리프ST귀걸이</t>
  </si>
  <si>
    <t>주얼리귀걸이</t>
  </si>
  <si>
    <t>7.31%</t>
  </si>
  <si>
    <t>명품스타일귀걸이</t>
  </si>
  <si>
    <t>도금귀걸이</t>
  </si>
  <si>
    <t>3.54%</t>
  </si>
  <si>
    <t>하트링귀걸이</t>
  </si>
  <si>
    <t>14K커플링</t>
  </si>
  <si>
    <t>1,050</t>
  </si>
  <si>
    <t>12,400</t>
  </si>
  <si>
    <t>3.7%</t>
  </si>
  <si>
    <t>여자금목걸이</t>
  </si>
  <si>
    <t>3,970</t>
  </si>
  <si>
    <t>4.19%</t>
  </si>
  <si>
    <t>20대여자생일선물</t>
  </si>
  <si>
    <t>4,950</t>
  </si>
  <si>
    <t>0.44%</t>
  </si>
  <si>
    <t>월간검색수(합계)</t>
    <phoneticPr fontId="3" type="noConversion"/>
  </si>
  <si>
    <t>은링귀걸이</t>
    <phoneticPr fontId="3" type="noConversion"/>
  </si>
  <si>
    <t>키워드</t>
    <phoneticPr fontId="3" type="noConversion"/>
  </si>
  <si>
    <t>예상노출수</t>
    <phoneticPr fontId="3" type="noConversion"/>
  </si>
  <si>
    <t>예상클릭수</t>
    <phoneticPr fontId="3" type="noConversion"/>
  </si>
  <si>
    <t>예상비용</t>
    <phoneticPr fontId="3" type="noConversion"/>
  </si>
  <si>
    <t>입찰가</t>
    <phoneticPr fontId="3" type="noConversion"/>
  </si>
  <si>
    <t>검색수</t>
    <phoneticPr fontId="3" type="noConversion"/>
  </si>
  <si>
    <t>클릭률</t>
    <phoneticPr fontId="3" type="noConversion"/>
  </si>
  <si>
    <t>여성귀걸이 - A</t>
    <phoneticPr fontId="3" type="noConversion"/>
  </si>
  <si>
    <t>여성귀걸이 - B</t>
    <phoneticPr fontId="3" type="noConversion"/>
  </si>
  <si>
    <t>계산비용</t>
    <phoneticPr fontId="3" type="noConversion"/>
  </si>
  <si>
    <t>오차</t>
    <phoneticPr fontId="3" type="noConversion"/>
  </si>
  <si>
    <t>횟수</t>
    <phoneticPr fontId="3" type="noConversion"/>
  </si>
  <si>
    <t>비율(부정클릭.오클릭)</t>
    <phoneticPr fontId="3" type="noConversion"/>
  </si>
  <si>
    <t>오메가3</t>
    <phoneticPr fontId="3" type="noConversion"/>
  </si>
  <si>
    <t>온라인 평균클릭률 : 0.8 ~ 1%</t>
    <phoneticPr fontId="3" type="noConversion"/>
  </si>
  <si>
    <t>CPC (Cost Per Click) : 광고 클릭 당 과금 비용</t>
    <phoneticPr fontId="3" type="noConversion"/>
  </si>
  <si>
    <t>CPM (Cost Per Mille) : 광고 노출 1000회당 과금 비용</t>
    <phoneticPr fontId="3" type="noConversion"/>
  </si>
  <si>
    <t>타겟팅 정의, 전환률 낮음</t>
    <phoneticPr fontId="3" type="noConversion"/>
  </si>
  <si>
    <t>부정클릭, 전환률</t>
    <phoneticPr fontId="3" type="noConversion"/>
  </si>
  <si>
    <t>CPA (Cost Per Action) : 광고를 통해서 사용자가 특정 행위했을 때, 과금 비용</t>
    <phoneticPr fontId="3" type="noConversion"/>
  </si>
  <si>
    <t>구매하기, 회원가입</t>
    <phoneticPr fontId="3" type="noConversion"/>
  </si>
  <si>
    <t>CPV (Cost Per View) : 영상 시청 시, 과금 비용</t>
    <phoneticPr fontId="3" type="noConversion"/>
  </si>
  <si>
    <t>유튜브 같은 동영상 플랫폼</t>
    <phoneticPr fontId="3" type="noConversion"/>
  </si>
  <si>
    <t>CPL (Cost Per Lead) : 광고를 통해서 사용자를 어디론가 이끌어올 때, 과금 비용</t>
    <phoneticPr fontId="3" type="noConversion"/>
  </si>
  <si>
    <t>설문지 작성, 샘플신청, 상담, 견적</t>
    <phoneticPr fontId="3" type="noConversion"/>
  </si>
  <si>
    <t>네이버</t>
    <phoneticPr fontId="3" type="noConversion"/>
  </si>
  <si>
    <t>SSG</t>
    <phoneticPr fontId="3" type="noConversion"/>
  </si>
  <si>
    <t>CPS (Cost Per Sale) : 판매 1건당 과금비용</t>
    <phoneticPr fontId="3" type="noConversion"/>
  </si>
  <si>
    <t>퍼포먼스 마케터 필요 지요</t>
    <phoneticPr fontId="3" type="noConversion"/>
  </si>
  <si>
    <t>CPI (Cost Per Intall) : 앱 설치 1건당 과금비용</t>
    <phoneticPr fontId="3" type="noConversion"/>
  </si>
  <si>
    <t>앱 게임, 배달 앱</t>
    <phoneticPr fontId="3" type="noConversion"/>
  </si>
  <si>
    <t>CPE (Cost Per Engagement) : 사용자의 참여당 과금비용</t>
    <phoneticPr fontId="3" type="noConversion"/>
  </si>
  <si>
    <t>댓글, 영상시청, 공유하기</t>
    <phoneticPr fontId="3" type="noConversion"/>
  </si>
  <si>
    <t>ROAS</t>
    <phoneticPr fontId="3" type="noConversion"/>
  </si>
  <si>
    <t>ROAS (Return On Ad Spend)</t>
    <phoneticPr fontId="3" type="noConversion"/>
  </si>
  <si>
    <t>ROAS (Return On Ad Spend) : 광고비 대비 매출액</t>
    <phoneticPr fontId="3" type="noConversion"/>
  </si>
  <si>
    <t>ROI (Return On Investment)</t>
    <phoneticPr fontId="3" type="noConversion"/>
  </si>
  <si>
    <t>ROI (Return On Investment) : 투자 대비 순이익</t>
    <phoneticPr fontId="3" type="noConversion"/>
  </si>
  <si>
    <t>(매출액 / 광고비) x 100</t>
    <phoneticPr fontId="3" type="noConversion"/>
  </si>
  <si>
    <t>광고비</t>
    <phoneticPr fontId="3" type="noConversion"/>
  </si>
  <si>
    <t>100만원</t>
    <phoneticPr fontId="3" type="noConversion"/>
  </si>
  <si>
    <t>매출액</t>
    <phoneticPr fontId="3" type="noConversion"/>
  </si>
  <si>
    <t>(순이익 / 총비용) x 100</t>
    <phoneticPr fontId="3" type="noConversion"/>
  </si>
  <si>
    <t>상품제작비</t>
    <phoneticPr fontId="3" type="noConversion"/>
  </si>
  <si>
    <t>200만원</t>
    <phoneticPr fontId="3" type="noConversion"/>
  </si>
  <si>
    <t>인건비 및 기타비용</t>
    <phoneticPr fontId="3" type="noConversion"/>
  </si>
  <si>
    <t>50만원</t>
    <phoneticPr fontId="3" type="noConversion"/>
  </si>
  <si>
    <t>500만원</t>
    <phoneticPr fontId="3" type="noConversion"/>
  </si>
  <si>
    <t>총비용 = 100 + 200 + 50</t>
    <phoneticPr fontId="3" type="noConversion"/>
  </si>
  <si>
    <t>순이익 = 500 - 350</t>
    <phoneticPr fontId="3" type="noConversion"/>
  </si>
  <si>
    <t>Objective (목표)</t>
    <phoneticPr fontId="8" type="noConversion"/>
  </si>
  <si>
    <t>서울시 정책 컨텐츠를 서울시민들에게 많이 도달시키고, 실질적인 시민의 참여를 확대하겠다</t>
    <phoneticPr fontId="8" type="noConversion"/>
  </si>
  <si>
    <t>Key Results (핵심결과) - 1</t>
    <phoneticPr fontId="8" type="noConversion"/>
  </si>
  <si>
    <r>
      <t xml:space="preserve">서울시 정책 컨텐츠 </t>
    </r>
    <r>
      <rPr>
        <b/>
        <sz val="18"/>
        <color theme="1"/>
        <rFont val="맑은 고딕"/>
        <family val="2"/>
        <charset val="129"/>
        <scheme val="minor"/>
      </rPr>
      <t>월간 노출 수</t>
    </r>
    <r>
      <rPr>
        <sz val="18"/>
        <color theme="1"/>
        <rFont val="맑은 고딕"/>
        <family val="2"/>
        <charset val="129"/>
        <scheme val="minor"/>
      </rPr>
      <t xml:space="preserve"> + 30%</t>
    </r>
    <phoneticPr fontId="8" type="noConversion"/>
  </si>
  <si>
    <t>Key Results (핵심결과) - 2</t>
    <phoneticPr fontId="8" type="noConversion"/>
  </si>
  <si>
    <t>컨텐츠 클릭률(CTR) 2.5% 이상</t>
    <phoneticPr fontId="8" type="noConversion"/>
  </si>
  <si>
    <t>Key Results (핵심결과) - 3</t>
    <phoneticPr fontId="8" type="noConversion"/>
  </si>
  <si>
    <t>정책 관련 페이지 유입 후 체류시간 평균 40초 이상</t>
    <phoneticPr fontId="8" type="noConversion"/>
  </si>
  <si>
    <t>Key Results (핵심결과) - 4</t>
    <phoneticPr fontId="8" type="noConversion"/>
  </si>
  <si>
    <t>유입 트래픽 중 신규 방문자 비율 60% 이상</t>
    <phoneticPr fontId="8" type="noConversion"/>
  </si>
  <si>
    <t>KPI (Key Performance Indicator = 핵심성과지표)</t>
    <phoneticPr fontId="8" type="noConversion"/>
  </si>
  <si>
    <t>컨텐츠마케팅 KPI</t>
    <phoneticPr fontId="8" type="noConversion"/>
  </si>
  <si>
    <t>컨텐츠 제작수, 컨텐츠 클릭률, 컨텐츠 시청(체류시간), CTA 클릭</t>
    <phoneticPr fontId="8" type="noConversion"/>
  </si>
  <si>
    <t>컨텐츠를 얼마나 클릭횟수, 실제 컨텐츠 상세페이지 유입률, 스크롤, 정보검색</t>
    <phoneticPr fontId="8" type="noConversion"/>
  </si>
  <si>
    <t>퍼포먼스마케팅 KPI</t>
    <phoneticPr fontId="8" type="noConversion"/>
  </si>
  <si>
    <t>광고캠페인 집행수, 광고컨텐츠 클릭률, CTA 클릭 =&gt; 전환률, CPC / CPA / ROAS</t>
    <phoneticPr fontId="8" type="noConversion"/>
  </si>
  <si>
    <t>광고클릭, 우리사이트 도착률, 최종단계까지 도달한 사용자의 수, 최종버튼클릭, 신청수</t>
    <phoneticPr fontId="8" type="noConversion"/>
  </si>
  <si>
    <t>NSM (North Star Metrics = 북극성 지표)</t>
    <phoneticPr fontId="8" type="noConversion"/>
  </si>
  <si>
    <t>일일 40초 이상 체류하고 있는 웹 트래픽 결과 데이터</t>
    <phoneticPr fontId="8" type="noConversion"/>
  </si>
  <si>
    <t>주간 사용자 클릭률 2.5% 이상</t>
    <phoneticPr fontId="8" type="noConversion"/>
  </si>
  <si>
    <t>노출</t>
    <phoneticPr fontId="8" type="noConversion"/>
  </si>
  <si>
    <t>내부노출 (On-site Imperssion)</t>
    <phoneticPr fontId="8" type="noConversion"/>
  </si>
  <si>
    <t>유입기반노출 (Landing Exposure)</t>
    <phoneticPr fontId="8" type="noConversion"/>
  </si>
  <si>
    <t>Instagram / Facebook</t>
    <phoneticPr fontId="8" type="noConversion"/>
  </si>
  <si>
    <t>외부플랫폼노출 (SERP)</t>
    <phoneticPr fontId="8" type="noConversion"/>
  </si>
  <si>
    <t xml:space="preserve">&gt; 초기창업 : 사업자 1년 버티는 13% &gt; </t>
    <phoneticPr fontId="3" type="noConversion"/>
  </si>
  <si>
    <t>LTV (Life Time Value) : 고객 생애 가치 - 1명의 고객이 우리의 브랜드의 평생 발생시킬 수 있는 가치</t>
    <phoneticPr fontId="3" type="noConversion"/>
  </si>
  <si>
    <t>CAC (Customer Acquisition Cost) : 고객 1명을 확보에 하는데 들어가는 평균 비용</t>
    <phoneticPr fontId="3" type="noConversion"/>
  </si>
  <si>
    <t>CTR (Click Through Rate) : (클릭수 / 노출수) x 100</t>
    <phoneticPr fontId="3" type="noConversion"/>
  </si>
  <si>
    <t>CVR (Conversion Rate) : (전환수 / 클릭수) x 100</t>
    <phoneticPr fontId="3" type="noConversion"/>
  </si>
  <si>
    <t>14K목걸이</t>
    <phoneticPr fontId="3" type="noConversion"/>
  </si>
  <si>
    <t>진주귀걸이</t>
    <phoneticPr fontId="3" type="noConversion"/>
  </si>
  <si>
    <t>골드볼귀걸이</t>
    <phoneticPr fontId="3" type="noConversion"/>
  </si>
  <si>
    <t>14K리본귀걸이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</si>
</sst>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0.0"/>
  </numFmts>
  <fonts count="10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6"/>
      <color theme="1"/>
      <name val="맑은 고딕"/>
      <family val="2"/>
      <scheme val="minor"/>
    </font>
    <font>
      <sz val="18"/>
      <color theme="1"/>
      <name val="맑은 고딕"/>
      <family val="2"/>
      <scheme val="minor"/>
    </font>
    <font>
      <sz val="18"/>
      <color rgb="FFFF0000"/>
      <name val="맑은 고딕"/>
      <family val="2"/>
      <scheme val="minor"/>
    </font>
    <font>
      <sz val="1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41" fontId="0" fillId="0" borderId="0" xfId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 applyAlignment="1">
      <alignment horizontal="center" vertical="center"/>
    </xf>
    <xf numFmtId="41" fontId="4" fillId="0" borderId="0" xfId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9" fontId="4" fillId="0" borderId="0" xfId="2" applyFont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9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0" xfId="3" applyFont="1">
      <alignment vertical="center"/>
    </xf>
    <xf numFmtId="0" fontId="7" fillId="2" borderId="0" xfId="3" applyFont="1" applyFill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2" xfId="3" xr:uid="{F6473A82-F081-CF4A-92B9-1F17BB1C487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12BB-AE19-3643-9171-692B92FA1C1E}">
  <dimension ref="B2:D16"/>
  <sheetViews>
    <sheetView topLeftCell="A4" zoomScale="120" zoomScaleNormal="120" workbookViewId="0">
      <selection activeCell="C14" sqref="C14"/>
    </sheetView>
  </sheetViews>
  <sheetFormatPr baseColWidth="10" defaultRowHeight="50" customHeight="1"/>
  <cols>
    <col min="1" max="1" width="10.7109375" style="20"/>
    <col min="2" max="2" width="63" style="20" bestFit="1" customWidth="1"/>
    <col min="3" max="3" width="63" style="19" customWidth="1"/>
    <col min="4" max="4" width="118" style="19" bestFit="1" customWidth="1"/>
    <col min="5" max="16384" width="10.7109375" style="20"/>
  </cols>
  <sheetData>
    <row r="2" spans="2:4" ht="50" customHeight="1">
      <c r="B2" s="19" t="s">
        <v>820</v>
      </c>
      <c r="D2" s="19" t="s">
        <v>821</v>
      </c>
    </row>
    <row r="3" spans="2:4" ht="50" customHeight="1">
      <c r="B3" s="19" t="s">
        <v>822</v>
      </c>
      <c r="D3" s="19" t="s">
        <v>823</v>
      </c>
    </row>
    <row r="4" spans="2:4" ht="50" customHeight="1">
      <c r="B4" s="19" t="s">
        <v>824</v>
      </c>
      <c r="D4" s="19" t="s">
        <v>825</v>
      </c>
    </row>
    <row r="5" spans="2:4" ht="50" customHeight="1">
      <c r="B5" s="19" t="s">
        <v>826</v>
      </c>
      <c r="D5" s="19" t="s">
        <v>827</v>
      </c>
    </row>
    <row r="6" spans="2:4" ht="50" customHeight="1">
      <c r="B6" s="19" t="s">
        <v>828</v>
      </c>
      <c r="D6" s="19" t="s">
        <v>829</v>
      </c>
    </row>
    <row r="7" spans="2:4" ht="50" customHeight="1">
      <c r="B7" s="19" t="s">
        <v>830</v>
      </c>
      <c r="C7" s="19" t="s">
        <v>831</v>
      </c>
      <c r="D7" s="19" t="s">
        <v>832</v>
      </c>
    </row>
    <row r="8" spans="2:4" ht="50" customHeight="1">
      <c r="B8" s="19"/>
      <c r="D8" s="21" t="s">
        <v>833</v>
      </c>
    </row>
    <row r="9" spans="2:4" ht="50" customHeight="1">
      <c r="C9" s="19" t="s">
        <v>834</v>
      </c>
      <c r="D9" s="19" t="s">
        <v>835</v>
      </c>
    </row>
    <row r="10" spans="2:4" ht="50" customHeight="1">
      <c r="D10" s="21" t="s">
        <v>836</v>
      </c>
    </row>
    <row r="11" spans="2:4" ht="50" customHeight="1">
      <c r="B11" s="19" t="s">
        <v>837</v>
      </c>
      <c r="D11" s="19" t="s">
        <v>838</v>
      </c>
    </row>
    <row r="12" spans="2:4" ht="50" customHeight="1">
      <c r="D12" s="19" t="s">
        <v>839</v>
      </c>
    </row>
    <row r="13" spans="2:4" ht="50" customHeight="1">
      <c r="B13" s="19" t="s">
        <v>840</v>
      </c>
    </row>
    <row r="14" spans="2:4" ht="50" customHeight="1">
      <c r="B14" s="19" t="s">
        <v>841</v>
      </c>
    </row>
    <row r="15" spans="2:4" ht="50" customHeight="1">
      <c r="B15" s="19" t="s">
        <v>842</v>
      </c>
      <c r="D15" s="19" t="s">
        <v>843</v>
      </c>
    </row>
    <row r="16" spans="2:4" ht="50" customHeight="1">
      <c r="B16" s="19" t="s">
        <v>844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4"/>
  <sheetViews>
    <sheetView tabSelected="1" zoomScale="150" workbookViewId="0">
      <selection activeCell="J7" sqref="J7"/>
    </sheetView>
  </sheetViews>
  <sheetFormatPr baseColWidth="10" defaultColWidth="15.42578125" defaultRowHeight="18"/>
  <cols>
    <col min="1" max="1" width="19.7109375" bestFit="1" customWidth="1"/>
    <col min="2" max="3" width="0" hidden="1" customWidth="1"/>
    <col min="4" max="4" width="24" style="1" customWidth="1"/>
    <col min="5" max="6" width="0" hidden="1" customWidth="1"/>
    <col min="7" max="8" width="21" hidden="1" customWidth="1"/>
    <col min="9" max="9" width="24" style="1" customWidth="1"/>
    <col min="10" max="10" width="18" style="1" customWidth="1"/>
    <col min="11" max="11" width="3.28515625" hidden="1" customWidth="1"/>
  </cols>
  <sheetData>
    <row r="1" spans="1:11">
      <c r="A1" t="s">
        <v>0</v>
      </c>
      <c r="B1" t="s">
        <v>1</v>
      </c>
      <c r="C1" t="s">
        <v>2</v>
      </c>
      <c r="D1" s="1" t="s">
        <v>768</v>
      </c>
      <c r="E1" t="s">
        <v>3</v>
      </c>
      <c r="F1" t="s">
        <v>4</v>
      </c>
      <c r="G1" t="s">
        <v>5</v>
      </c>
      <c r="H1" t="s">
        <v>6</v>
      </c>
      <c r="I1" s="1" t="s">
        <v>6</v>
      </c>
      <c r="J1" s="1" t="s">
        <v>7</v>
      </c>
      <c r="K1" t="s">
        <v>8</v>
      </c>
    </row>
    <row r="2" spans="1:11">
      <c r="A2" s="4" t="s">
        <v>9</v>
      </c>
      <c r="B2" t="s">
        <v>10</v>
      </c>
      <c r="C2" t="s">
        <v>11</v>
      </c>
      <c r="D2" s="2">
        <f t="shared" ref="D2:D65" si="0">B2+C2</f>
        <v>68350</v>
      </c>
      <c r="E2">
        <v>137.6</v>
      </c>
      <c r="F2">
        <v>1931.1</v>
      </c>
      <c r="G2" t="s">
        <v>12</v>
      </c>
      <c r="H2" t="s">
        <v>13</v>
      </c>
      <c r="I2" s="3">
        <f t="shared" ref="I2:I65" si="1">H2+0</f>
        <v>3.4200000000000001E-2</v>
      </c>
      <c r="J2" s="1" t="s">
        <v>14</v>
      </c>
      <c r="K2">
        <v>10</v>
      </c>
    </row>
    <row r="3" spans="1:11">
      <c r="A3" s="4" t="s">
        <v>54</v>
      </c>
      <c r="B3" t="s">
        <v>55</v>
      </c>
      <c r="C3" t="s">
        <v>56</v>
      </c>
      <c r="D3" s="2">
        <f t="shared" si="0"/>
        <v>58350</v>
      </c>
      <c r="E3">
        <v>73.5</v>
      </c>
      <c r="F3">
        <v>706.4</v>
      </c>
      <c r="G3" t="s">
        <v>57</v>
      </c>
      <c r="H3" t="s">
        <v>58</v>
      </c>
      <c r="I3" s="3">
        <f t="shared" si="1"/>
        <v>1.4800000000000001E-2</v>
      </c>
      <c r="J3" s="1" t="s">
        <v>14</v>
      </c>
      <c r="K3">
        <v>10</v>
      </c>
    </row>
    <row r="4" spans="1:11">
      <c r="A4" s="4" t="s">
        <v>24</v>
      </c>
      <c r="B4" t="s">
        <v>25</v>
      </c>
      <c r="C4" t="s">
        <v>26</v>
      </c>
      <c r="D4" s="2">
        <f t="shared" si="0"/>
        <v>51210</v>
      </c>
      <c r="E4">
        <v>142.30000000000001</v>
      </c>
      <c r="F4">
        <v>1334.8</v>
      </c>
      <c r="G4" t="s">
        <v>27</v>
      </c>
      <c r="H4" t="s">
        <v>28</v>
      </c>
      <c r="I4" s="3">
        <f t="shared" si="1"/>
        <v>3.15E-2</v>
      </c>
      <c r="J4" s="1" t="s">
        <v>14</v>
      </c>
      <c r="K4">
        <v>10</v>
      </c>
    </row>
    <row r="5" spans="1:11">
      <c r="A5" s="4" t="s">
        <v>850</v>
      </c>
      <c r="B5" t="s">
        <v>74</v>
      </c>
      <c r="C5" t="s">
        <v>75</v>
      </c>
      <c r="D5" s="2">
        <f t="shared" si="0"/>
        <v>35760</v>
      </c>
      <c r="E5">
        <v>66.599999999999994</v>
      </c>
      <c r="F5">
        <v>785.5</v>
      </c>
      <c r="G5" t="s">
        <v>76</v>
      </c>
      <c r="H5" t="s">
        <v>77</v>
      </c>
      <c r="I5" s="3">
        <f t="shared" si="1"/>
        <v>2.6200000000000001E-2</v>
      </c>
      <c r="J5" s="1" t="s">
        <v>14</v>
      </c>
      <c r="K5">
        <v>10</v>
      </c>
    </row>
    <row r="6" spans="1:11">
      <c r="A6" s="4" t="s">
        <v>92</v>
      </c>
      <c r="B6" t="s">
        <v>93</v>
      </c>
      <c r="C6" t="s">
        <v>94</v>
      </c>
      <c r="D6" s="2">
        <f t="shared" si="0"/>
        <v>30110</v>
      </c>
      <c r="E6">
        <v>52.8</v>
      </c>
      <c r="F6">
        <v>490.4</v>
      </c>
      <c r="G6" t="s">
        <v>95</v>
      </c>
      <c r="H6" t="s">
        <v>96</v>
      </c>
      <c r="I6" s="3">
        <f t="shared" si="1"/>
        <v>2.01E-2</v>
      </c>
      <c r="J6" s="1" t="s">
        <v>14</v>
      </c>
      <c r="K6">
        <v>10</v>
      </c>
    </row>
    <row r="7" spans="1:11">
      <c r="A7" s="4" t="s">
        <v>695</v>
      </c>
      <c r="B7" t="s">
        <v>696</v>
      </c>
      <c r="C7" t="s">
        <v>697</v>
      </c>
      <c r="D7" s="2">
        <f t="shared" si="0"/>
        <v>26540</v>
      </c>
      <c r="E7">
        <v>4.4000000000000004</v>
      </c>
      <c r="F7">
        <v>91</v>
      </c>
      <c r="G7" t="s">
        <v>698</v>
      </c>
      <c r="H7" t="s">
        <v>699</v>
      </c>
      <c r="I7" s="3">
        <f t="shared" si="1"/>
        <v>4.4999999999999997E-3</v>
      </c>
      <c r="J7" s="1" t="s">
        <v>14</v>
      </c>
      <c r="K7">
        <v>10</v>
      </c>
    </row>
    <row r="8" spans="1:11">
      <c r="A8" s="4" t="s">
        <v>851</v>
      </c>
      <c r="B8" t="s">
        <v>15</v>
      </c>
      <c r="C8" t="s">
        <v>16</v>
      </c>
      <c r="D8" s="2">
        <f t="shared" si="0"/>
        <v>25660</v>
      </c>
      <c r="E8">
        <v>63</v>
      </c>
      <c r="F8">
        <v>610.9</v>
      </c>
      <c r="G8" t="s">
        <v>17</v>
      </c>
      <c r="H8" t="s">
        <v>18</v>
      </c>
      <c r="I8" s="3">
        <f t="shared" si="1"/>
        <v>2.8199999999999999E-2</v>
      </c>
      <c r="J8" s="1" t="s">
        <v>14</v>
      </c>
      <c r="K8">
        <v>10</v>
      </c>
    </row>
    <row r="9" spans="1:11">
      <c r="A9" s="4" t="s">
        <v>19</v>
      </c>
      <c r="B9" t="s">
        <v>20</v>
      </c>
      <c r="C9" t="s">
        <v>21</v>
      </c>
      <c r="D9" s="2">
        <f t="shared" si="0"/>
        <v>21300</v>
      </c>
      <c r="E9">
        <v>55.3</v>
      </c>
      <c r="F9">
        <v>581.29999999999995</v>
      </c>
      <c r="G9" t="s">
        <v>22</v>
      </c>
      <c r="H9" t="s">
        <v>23</v>
      </c>
      <c r="I9" s="3">
        <f t="shared" si="1"/>
        <v>3.3099999999999997E-2</v>
      </c>
      <c r="J9" s="1" t="s">
        <v>14</v>
      </c>
      <c r="K9">
        <v>10</v>
      </c>
    </row>
    <row r="10" spans="1:11">
      <c r="A10" s="4" t="s">
        <v>78</v>
      </c>
      <c r="B10" t="s">
        <v>79</v>
      </c>
      <c r="C10" t="s">
        <v>80</v>
      </c>
      <c r="D10" s="2">
        <f t="shared" si="0"/>
        <v>18450</v>
      </c>
      <c r="E10">
        <v>30.5</v>
      </c>
      <c r="F10">
        <v>303.60000000000002</v>
      </c>
      <c r="G10" t="s">
        <v>62</v>
      </c>
      <c r="H10" t="s">
        <v>81</v>
      </c>
      <c r="I10" s="3">
        <f t="shared" si="1"/>
        <v>1.9599999999999999E-2</v>
      </c>
      <c r="J10" s="1" t="s">
        <v>14</v>
      </c>
      <c r="K10">
        <v>10</v>
      </c>
    </row>
    <row r="11" spans="1:11">
      <c r="A11" s="4" t="s">
        <v>603</v>
      </c>
      <c r="B11" t="s">
        <v>604</v>
      </c>
      <c r="C11" t="s">
        <v>605</v>
      </c>
      <c r="D11" s="2">
        <f t="shared" si="0"/>
        <v>14460</v>
      </c>
      <c r="E11">
        <v>2</v>
      </c>
      <c r="F11">
        <v>172</v>
      </c>
      <c r="G11" t="s">
        <v>557</v>
      </c>
      <c r="H11" t="s">
        <v>496</v>
      </c>
      <c r="I11" s="3">
        <f t="shared" si="1"/>
        <v>1.41E-2</v>
      </c>
      <c r="J11" s="1" t="s">
        <v>14</v>
      </c>
      <c r="K11">
        <v>10</v>
      </c>
    </row>
    <row r="12" spans="1:11">
      <c r="A12" s="4" t="s">
        <v>39</v>
      </c>
      <c r="B12" t="s">
        <v>40</v>
      </c>
      <c r="C12" t="s">
        <v>41</v>
      </c>
      <c r="D12" s="2">
        <f t="shared" si="0"/>
        <v>14210</v>
      </c>
      <c r="E12">
        <v>50.9</v>
      </c>
      <c r="F12">
        <v>486</v>
      </c>
      <c r="G12" t="s">
        <v>42</v>
      </c>
      <c r="H12" t="s">
        <v>43</v>
      </c>
      <c r="I12" s="3">
        <f t="shared" si="1"/>
        <v>4.1300000000000003E-2</v>
      </c>
      <c r="J12" s="1" t="s">
        <v>14</v>
      </c>
      <c r="K12">
        <v>7</v>
      </c>
    </row>
    <row r="13" spans="1:11">
      <c r="A13" s="4" t="s">
        <v>758</v>
      </c>
      <c r="B13" t="s">
        <v>759</v>
      </c>
      <c r="C13" t="s">
        <v>760</v>
      </c>
      <c r="D13" s="2">
        <f t="shared" si="0"/>
        <v>13450</v>
      </c>
      <c r="E13">
        <v>36.200000000000003</v>
      </c>
      <c r="F13">
        <v>459.5</v>
      </c>
      <c r="G13" t="s">
        <v>761</v>
      </c>
      <c r="H13" t="s">
        <v>539</v>
      </c>
      <c r="I13" s="3">
        <f t="shared" si="1"/>
        <v>4.2000000000000003E-2</v>
      </c>
      <c r="J13" s="1" t="s">
        <v>14</v>
      </c>
      <c r="K13">
        <v>10</v>
      </c>
    </row>
    <row r="14" spans="1:11">
      <c r="A14" s="4" t="s">
        <v>339</v>
      </c>
      <c r="B14" t="s">
        <v>340</v>
      </c>
      <c r="C14" t="s">
        <v>341</v>
      </c>
      <c r="D14" s="2">
        <f t="shared" si="0"/>
        <v>13320</v>
      </c>
      <c r="E14">
        <v>23.8</v>
      </c>
      <c r="F14">
        <v>304.7</v>
      </c>
      <c r="G14" t="s">
        <v>194</v>
      </c>
      <c r="H14" t="s">
        <v>342</v>
      </c>
      <c r="I14" s="3">
        <f t="shared" si="1"/>
        <v>2.8000000000000001E-2</v>
      </c>
      <c r="J14" s="1" t="s">
        <v>14</v>
      </c>
      <c r="K14">
        <v>10</v>
      </c>
    </row>
    <row r="15" spans="1:11">
      <c r="A15" s="4" t="s">
        <v>64</v>
      </c>
      <c r="B15" t="s">
        <v>65</v>
      </c>
      <c r="C15" t="s">
        <v>66</v>
      </c>
      <c r="D15" s="2">
        <f t="shared" si="0"/>
        <v>11460</v>
      </c>
      <c r="E15">
        <v>10.1</v>
      </c>
      <c r="F15">
        <v>83.8</v>
      </c>
      <c r="G15" t="s">
        <v>67</v>
      </c>
      <c r="H15" t="s">
        <v>68</v>
      </c>
      <c r="I15" s="3">
        <f t="shared" si="1"/>
        <v>1.09E-2</v>
      </c>
      <c r="J15" s="1" t="s">
        <v>14</v>
      </c>
      <c r="K15">
        <v>10</v>
      </c>
    </row>
    <row r="16" spans="1:11">
      <c r="A16" s="4" t="s">
        <v>44</v>
      </c>
      <c r="B16" t="s">
        <v>45</v>
      </c>
      <c r="C16" t="s">
        <v>46</v>
      </c>
      <c r="D16" s="2">
        <f t="shared" si="0"/>
        <v>9700</v>
      </c>
      <c r="E16">
        <v>24.6</v>
      </c>
      <c r="F16">
        <v>210.2</v>
      </c>
      <c r="G16" t="s">
        <v>47</v>
      </c>
      <c r="H16" t="s">
        <v>48</v>
      </c>
      <c r="I16" s="3">
        <f t="shared" si="1"/>
        <v>2.7199999999999998E-2</v>
      </c>
      <c r="J16" s="1" t="s">
        <v>14</v>
      </c>
      <c r="K16">
        <v>10</v>
      </c>
    </row>
    <row r="17" spans="1:11">
      <c r="A17" s="4" t="s">
        <v>481</v>
      </c>
      <c r="B17" t="s">
        <v>482</v>
      </c>
      <c r="C17" t="s">
        <v>483</v>
      </c>
      <c r="D17" s="2">
        <f t="shared" si="0"/>
        <v>9170</v>
      </c>
      <c r="E17">
        <v>2.2999999999999998</v>
      </c>
      <c r="F17">
        <v>68.3</v>
      </c>
      <c r="G17" t="s">
        <v>484</v>
      </c>
      <c r="H17" t="s">
        <v>485</v>
      </c>
      <c r="I17" s="3">
        <f t="shared" si="1"/>
        <v>8.9999999999999993E-3</v>
      </c>
      <c r="J17" s="1" t="s">
        <v>14</v>
      </c>
      <c r="K17">
        <v>10</v>
      </c>
    </row>
    <row r="18" spans="1:11">
      <c r="A18" s="4" t="s">
        <v>59</v>
      </c>
      <c r="B18" t="s">
        <v>60</v>
      </c>
      <c r="C18" t="s">
        <v>61</v>
      </c>
      <c r="D18" s="2">
        <f t="shared" si="0"/>
        <v>8950</v>
      </c>
      <c r="E18">
        <v>13.5</v>
      </c>
      <c r="F18">
        <v>181.7</v>
      </c>
      <c r="G18" t="s">
        <v>62</v>
      </c>
      <c r="H18" t="s">
        <v>63</v>
      </c>
      <c r="I18" s="3">
        <f t="shared" si="1"/>
        <v>2.4299999999999999E-2</v>
      </c>
      <c r="J18" s="1" t="s">
        <v>14</v>
      </c>
      <c r="K18">
        <v>10</v>
      </c>
    </row>
    <row r="19" spans="1:11">
      <c r="A19" s="4" t="s">
        <v>97</v>
      </c>
      <c r="B19" t="s">
        <v>98</v>
      </c>
      <c r="C19" t="s">
        <v>99</v>
      </c>
      <c r="D19" s="2">
        <f t="shared" si="0"/>
        <v>8880</v>
      </c>
      <c r="E19">
        <v>25.6</v>
      </c>
      <c r="F19">
        <v>248.4</v>
      </c>
      <c r="G19" t="s">
        <v>100</v>
      </c>
      <c r="H19" t="s">
        <v>101</v>
      </c>
      <c r="I19" s="3">
        <f t="shared" si="1"/>
        <v>3.39E-2</v>
      </c>
      <c r="J19" s="1" t="s">
        <v>14</v>
      </c>
      <c r="K19">
        <v>10</v>
      </c>
    </row>
    <row r="20" spans="1:11">
      <c r="A20" s="4" t="s">
        <v>421</v>
      </c>
      <c r="B20" t="s">
        <v>260</v>
      </c>
      <c r="C20" t="s">
        <v>422</v>
      </c>
      <c r="D20" s="2">
        <f t="shared" si="0"/>
        <v>6550</v>
      </c>
      <c r="E20">
        <v>10.7</v>
      </c>
      <c r="F20">
        <v>164.7</v>
      </c>
      <c r="G20" t="s">
        <v>423</v>
      </c>
      <c r="H20" t="s">
        <v>424</v>
      </c>
      <c r="I20" s="3">
        <f t="shared" si="1"/>
        <v>3.1E-2</v>
      </c>
      <c r="J20" s="1" t="s">
        <v>14</v>
      </c>
      <c r="K20">
        <v>10</v>
      </c>
    </row>
    <row r="21" spans="1:11">
      <c r="A21" s="4" t="s">
        <v>102</v>
      </c>
      <c r="B21" t="s">
        <v>103</v>
      </c>
      <c r="C21" t="s">
        <v>104</v>
      </c>
      <c r="D21" s="2">
        <f t="shared" si="0"/>
        <v>6280</v>
      </c>
      <c r="E21">
        <v>20.100000000000001</v>
      </c>
      <c r="F21">
        <v>144.69999999999999</v>
      </c>
      <c r="G21" t="s">
        <v>105</v>
      </c>
      <c r="H21" t="s">
        <v>106</v>
      </c>
      <c r="I21" s="3">
        <f t="shared" si="1"/>
        <v>2.8299999999999999E-2</v>
      </c>
      <c r="J21" s="1" t="s">
        <v>14</v>
      </c>
      <c r="K21">
        <v>10</v>
      </c>
    </row>
    <row r="22" spans="1:11">
      <c r="A22" s="4" t="s">
        <v>765</v>
      </c>
      <c r="B22" t="s">
        <v>618</v>
      </c>
      <c r="C22" t="s">
        <v>766</v>
      </c>
      <c r="D22" s="2">
        <f t="shared" si="0"/>
        <v>5630</v>
      </c>
      <c r="E22">
        <v>2.8</v>
      </c>
      <c r="F22">
        <v>15.8</v>
      </c>
      <c r="G22" t="s">
        <v>767</v>
      </c>
      <c r="H22" t="s">
        <v>699</v>
      </c>
      <c r="I22" s="3">
        <f t="shared" si="1"/>
        <v>4.4999999999999997E-3</v>
      </c>
      <c r="J22" s="1" t="s">
        <v>14</v>
      </c>
      <c r="K22">
        <v>10</v>
      </c>
    </row>
    <row r="23" spans="1:11">
      <c r="A23" s="4" t="s">
        <v>320</v>
      </c>
      <c r="B23" t="s">
        <v>269</v>
      </c>
      <c r="C23" t="s">
        <v>321</v>
      </c>
      <c r="D23" s="2">
        <f t="shared" si="0"/>
        <v>4980</v>
      </c>
      <c r="E23">
        <v>4.8</v>
      </c>
      <c r="F23">
        <v>55.7</v>
      </c>
      <c r="G23" t="s">
        <v>322</v>
      </c>
      <c r="H23" t="s">
        <v>323</v>
      </c>
      <c r="I23" s="3">
        <f t="shared" si="1"/>
        <v>1.4E-2</v>
      </c>
      <c r="J23" s="1" t="s">
        <v>14</v>
      </c>
      <c r="K23">
        <v>10</v>
      </c>
    </row>
    <row r="24" spans="1:11">
      <c r="A24" s="4" t="s">
        <v>69</v>
      </c>
      <c r="B24" t="s">
        <v>70</v>
      </c>
      <c r="C24" t="s">
        <v>71</v>
      </c>
      <c r="D24" s="2">
        <f t="shared" si="0"/>
        <v>4580</v>
      </c>
      <c r="E24">
        <v>6</v>
      </c>
      <c r="F24">
        <v>105.9</v>
      </c>
      <c r="G24" t="s">
        <v>72</v>
      </c>
      <c r="H24" t="s">
        <v>73</v>
      </c>
      <c r="I24" s="3">
        <f t="shared" si="1"/>
        <v>2.9499999999999998E-2</v>
      </c>
      <c r="J24" s="1" t="s">
        <v>14</v>
      </c>
      <c r="K24">
        <v>10</v>
      </c>
    </row>
    <row r="25" spans="1:11">
      <c r="A25" s="4" t="s">
        <v>762</v>
      </c>
      <c r="B25" t="s">
        <v>410</v>
      </c>
      <c r="C25" t="s">
        <v>763</v>
      </c>
      <c r="D25" s="2">
        <f t="shared" si="0"/>
        <v>4470</v>
      </c>
      <c r="E25">
        <v>13.2</v>
      </c>
      <c r="F25">
        <v>150.30000000000001</v>
      </c>
      <c r="G25" t="s">
        <v>559</v>
      </c>
      <c r="H25" t="s">
        <v>764</v>
      </c>
      <c r="I25" s="3">
        <f t="shared" si="1"/>
        <v>4.19E-2</v>
      </c>
      <c r="J25" s="1" t="s">
        <v>14</v>
      </c>
      <c r="K25">
        <v>10</v>
      </c>
    </row>
    <row r="26" spans="1:11">
      <c r="A26" s="4" t="s">
        <v>202</v>
      </c>
      <c r="B26" t="s">
        <v>203</v>
      </c>
      <c r="C26" t="s">
        <v>204</v>
      </c>
      <c r="D26" s="2">
        <f t="shared" si="0"/>
        <v>4470</v>
      </c>
      <c r="E26">
        <v>11</v>
      </c>
      <c r="F26">
        <v>83.2</v>
      </c>
      <c r="G26" t="s">
        <v>205</v>
      </c>
      <c r="H26" t="s">
        <v>206</v>
      </c>
      <c r="I26" s="3">
        <f t="shared" si="1"/>
        <v>2.24E-2</v>
      </c>
      <c r="J26" s="1" t="s">
        <v>14</v>
      </c>
      <c r="K26">
        <v>10</v>
      </c>
    </row>
    <row r="27" spans="1:11">
      <c r="A27" s="4" t="s">
        <v>461</v>
      </c>
      <c r="B27" t="s">
        <v>231</v>
      </c>
      <c r="C27" t="s">
        <v>462</v>
      </c>
      <c r="D27" s="2">
        <f t="shared" si="0"/>
        <v>3810</v>
      </c>
      <c r="E27">
        <v>5.3</v>
      </c>
      <c r="F27">
        <v>97.3</v>
      </c>
      <c r="G27" t="s">
        <v>32</v>
      </c>
      <c r="H27" t="s">
        <v>463</v>
      </c>
      <c r="I27" s="3">
        <f t="shared" si="1"/>
        <v>3.04E-2</v>
      </c>
      <c r="J27" s="1" t="s">
        <v>14</v>
      </c>
      <c r="K27">
        <v>8</v>
      </c>
    </row>
    <row r="28" spans="1:11">
      <c r="A28" s="4" t="s">
        <v>34</v>
      </c>
      <c r="B28" t="s">
        <v>35</v>
      </c>
      <c r="C28" t="s">
        <v>36</v>
      </c>
      <c r="D28" s="2">
        <f t="shared" si="0"/>
        <v>3400</v>
      </c>
      <c r="E28">
        <v>2.6</v>
      </c>
      <c r="F28">
        <v>71.3</v>
      </c>
      <c r="G28" t="s">
        <v>37</v>
      </c>
      <c r="H28" t="s">
        <v>38</v>
      </c>
      <c r="I28" s="3">
        <f t="shared" si="1"/>
        <v>2.5499999999999998E-2</v>
      </c>
      <c r="J28" s="1" t="s">
        <v>14</v>
      </c>
      <c r="K28">
        <v>10</v>
      </c>
    </row>
    <row r="29" spans="1:11">
      <c r="A29" s="4" t="s">
        <v>29</v>
      </c>
      <c r="B29" t="s">
        <v>30</v>
      </c>
      <c r="C29" t="s">
        <v>31</v>
      </c>
      <c r="D29" s="2">
        <f t="shared" si="0"/>
        <v>3400</v>
      </c>
      <c r="E29">
        <v>4.7</v>
      </c>
      <c r="F29">
        <v>62.5</v>
      </c>
      <c r="G29" t="s">
        <v>32</v>
      </c>
      <c r="H29" t="s">
        <v>33</v>
      </c>
      <c r="I29" s="3">
        <f t="shared" si="1"/>
        <v>2.1999999999999999E-2</v>
      </c>
      <c r="J29" s="1" t="s">
        <v>14</v>
      </c>
      <c r="K29">
        <v>10</v>
      </c>
    </row>
    <row r="30" spans="1:11">
      <c r="A30" s="4" t="s">
        <v>433</v>
      </c>
      <c r="B30" t="s">
        <v>293</v>
      </c>
      <c r="C30" t="s">
        <v>434</v>
      </c>
      <c r="D30" s="2">
        <f t="shared" si="0"/>
        <v>3370</v>
      </c>
      <c r="E30">
        <v>6.5</v>
      </c>
      <c r="F30">
        <v>64.900000000000006</v>
      </c>
      <c r="G30" t="s">
        <v>183</v>
      </c>
      <c r="H30" t="s">
        <v>435</v>
      </c>
      <c r="I30" s="3">
        <f t="shared" si="1"/>
        <v>2.4500000000000001E-2</v>
      </c>
      <c r="J30" s="1" t="s">
        <v>14</v>
      </c>
      <c r="K30">
        <v>10</v>
      </c>
    </row>
    <row r="31" spans="1:11">
      <c r="A31" s="4" t="s">
        <v>443</v>
      </c>
      <c r="B31" t="s">
        <v>88</v>
      </c>
      <c r="C31" t="s">
        <v>444</v>
      </c>
      <c r="D31" s="2">
        <f t="shared" si="0"/>
        <v>3040</v>
      </c>
      <c r="E31">
        <v>10.6</v>
      </c>
      <c r="F31">
        <v>75.400000000000006</v>
      </c>
      <c r="G31" t="s">
        <v>445</v>
      </c>
      <c r="H31" t="s">
        <v>446</v>
      </c>
      <c r="I31" s="3">
        <f t="shared" si="1"/>
        <v>0.03</v>
      </c>
      <c r="J31" s="1" t="s">
        <v>14</v>
      </c>
      <c r="K31">
        <v>10</v>
      </c>
    </row>
    <row r="32" spans="1:11">
      <c r="A32" s="5" t="s">
        <v>262</v>
      </c>
      <c r="B32" t="s">
        <v>263</v>
      </c>
      <c r="C32" t="s">
        <v>264</v>
      </c>
      <c r="D32" s="2">
        <f t="shared" si="0"/>
        <v>2760</v>
      </c>
      <c r="E32">
        <v>7.4</v>
      </c>
      <c r="F32">
        <v>69.599999999999994</v>
      </c>
      <c r="G32" t="s">
        <v>261</v>
      </c>
      <c r="H32" t="s">
        <v>17</v>
      </c>
      <c r="I32" s="3">
        <f t="shared" si="1"/>
        <v>3.1099999999999999E-2</v>
      </c>
      <c r="J32" s="1" t="s">
        <v>14</v>
      </c>
      <c r="K32">
        <v>8</v>
      </c>
    </row>
    <row r="33" spans="1:11">
      <c r="A33" s="5" t="s">
        <v>564</v>
      </c>
      <c r="B33" t="s">
        <v>311</v>
      </c>
      <c r="C33" t="s">
        <v>565</v>
      </c>
      <c r="D33" s="2">
        <f t="shared" si="0"/>
        <v>2740</v>
      </c>
      <c r="E33">
        <v>2.1</v>
      </c>
      <c r="F33">
        <v>55.8</v>
      </c>
      <c r="G33" t="s">
        <v>139</v>
      </c>
      <c r="H33" t="s">
        <v>76</v>
      </c>
      <c r="I33" s="3">
        <f t="shared" si="1"/>
        <v>2.47E-2</v>
      </c>
      <c r="J33" s="1" t="s">
        <v>14</v>
      </c>
      <c r="K33">
        <v>10</v>
      </c>
    </row>
    <row r="34" spans="1:11">
      <c r="A34" s="5" t="s">
        <v>447</v>
      </c>
      <c r="B34" t="s">
        <v>375</v>
      </c>
      <c r="C34" t="s">
        <v>448</v>
      </c>
      <c r="D34" s="2">
        <f t="shared" si="0"/>
        <v>2540</v>
      </c>
      <c r="E34">
        <v>1.8</v>
      </c>
      <c r="F34">
        <v>59.2</v>
      </c>
      <c r="G34" t="s">
        <v>348</v>
      </c>
      <c r="H34" t="s">
        <v>449</v>
      </c>
      <c r="I34" s="3">
        <f t="shared" si="1"/>
        <v>2.9000000000000001E-2</v>
      </c>
      <c r="J34" s="1" t="s">
        <v>14</v>
      </c>
      <c r="K34">
        <v>10</v>
      </c>
    </row>
    <row r="35" spans="1:11">
      <c r="A35" s="5" t="s">
        <v>380</v>
      </c>
      <c r="B35" t="s">
        <v>358</v>
      </c>
      <c r="C35" t="s">
        <v>381</v>
      </c>
      <c r="D35" s="2">
        <f t="shared" si="0"/>
        <v>2540</v>
      </c>
      <c r="E35">
        <v>4.9000000000000004</v>
      </c>
      <c r="F35">
        <v>62.2</v>
      </c>
      <c r="G35" t="s">
        <v>382</v>
      </c>
      <c r="H35" t="s">
        <v>383</v>
      </c>
      <c r="I35" s="3">
        <f t="shared" si="1"/>
        <v>2.8899999999999999E-2</v>
      </c>
      <c r="J35" s="1" t="s">
        <v>14</v>
      </c>
      <c r="K35">
        <v>10</v>
      </c>
    </row>
    <row r="36" spans="1:11">
      <c r="A36" s="5" t="s">
        <v>286</v>
      </c>
      <c r="B36" t="s">
        <v>287</v>
      </c>
      <c r="C36" t="s">
        <v>288</v>
      </c>
      <c r="D36" s="2">
        <f t="shared" si="0"/>
        <v>2480</v>
      </c>
      <c r="E36">
        <v>6.3</v>
      </c>
      <c r="F36">
        <v>36.1</v>
      </c>
      <c r="G36" t="s">
        <v>81</v>
      </c>
      <c r="H36" t="s">
        <v>81</v>
      </c>
      <c r="I36" s="3">
        <f t="shared" si="1"/>
        <v>1.9599999999999999E-2</v>
      </c>
      <c r="J36" s="1" t="s">
        <v>14</v>
      </c>
      <c r="K36">
        <v>8</v>
      </c>
    </row>
    <row r="37" spans="1:11">
      <c r="A37" s="5" t="s">
        <v>87</v>
      </c>
      <c r="B37" t="s">
        <v>88</v>
      </c>
      <c r="C37" t="s">
        <v>89</v>
      </c>
      <c r="D37" s="2">
        <f t="shared" si="0"/>
        <v>2460</v>
      </c>
      <c r="E37">
        <v>16.7</v>
      </c>
      <c r="F37">
        <v>207</v>
      </c>
      <c r="G37" t="s">
        <v>90</v>
      </c>
      <c r="H37" t="s">
        <v>91</v>
      </c>
      <c r="I37" s="3">
        <f t="shared" si="1"/>
        <v>0.10639999999999999</v>
      </c>
      <c r="J37" s="1" t="s">
        <v>14</v>
      </c>
      <c r="K37">
        <v>10</v>
      </c>
    </row>
    <row r="38" spans="1:11">
      <c r="A38" s="5" t="s">
        <v>440</v>
      </c>
      <c r="B38" t="s">
        <v>84</v>
      </c>
      <c r="C38" t="s">
        <v>441</v>
      </c>
      <c r="D38" s="2">
        <f t="shared" si="0"/>
        <v>2140</v>
      </c>
      <c r="E38">
        <v>3</v>
      </c>
      <c r="F38">
        <v>41.9</v>
      </c>
      <c r="G38" t="s">
        <v>301</v>
      </c>
      <c r="H38" t="s">
        <v>442</v>
      </c>
      <c r="I38" s="3">
        <f t="shared" si="1"/>
        <v>2.3099999999999999E-2</v>
      </c>
      <c r="J38" s="1" t="s">
        <v>14</v>
      </c>
      <c r="K38">
        <v>10</v>
      </c>
    </row>
    <row r="39" spans="1:11">
      <c r="A39" s="5" t="s">
        <v>216</v>
      </c>
      <c r="B39" t="s">
        <v>217</v>
      </c>
      <c r="C39" t="s">
        <v>218</v>
      </c>
      <c r="D39" s="2">
        <f t="shared" si="0"/>
        <v>2020</v>
      </c>
      <c r="E39">
        <v>1.5</v>
      </c>
      <c r="F39">
        <v>29.1</v>
      </c>
      <c r="G39" t="s">
        <v>219</v>
      </c>
      <c r="H39" t="s">
        <v>220</v>
      </c>
      <c r="I39" s="3">
        <f t="shared" si="1"/>
        <v>1.6899999999999998E-2</v>
      </c>
      <c r="J39" s="1" t="s">
        <v>14</v>
      </c>
      <c r="K39">
        <v>10</v>
      </c>
    </row>
    <row r="40" spans="1:11">
      <c r="A40" s="5" t="s">
        <v>160</v>
      </c>
      <c r="B40" t="s">
        <v>161</v>
      </c>
      <c r="C40" t="s">
        <v>162</v>
      </c>
      <c r="D40" s="2">
        <f t="shared" si="0"/>
        <v>1940</v>
      </c>
      <c r="E40">
        <v>2.8</v>
      </c>
      <c r="F40">
        <v>23.8</v>
      </c>
      <c r="G40" t="s">
        <v>127</v>
      </c>
      <c r="H40" t="s">
        <v>163</v>
      </c>
      <c r="I40" s="3">
        <f t="shared" si="1"/>
        <v>1.6400000000000001E-2</v>
      </c>
      <c r="J40" s="1" t="s">
        <v>14</v>
      </c>
      <c r="K40">
        <v>8</v>
      </c>
    </row>
    <row r="41" spans="1:11">
      <c r="A41" s="5" t="s">
        <v>494</v>
      </c>
      <c r="B41" t="s">
        <v>152</v>
      </c>
      <c r="C41" t="s">
        <v>495</v>
      </c>
      <c r="D41" s="2">
        <f t="shared" si="0"/>
        <v>1850</v>
      </c>
      <c r="E41">
        <v>2.2000000000000002</v>
      </c>
      <c r="F41">
        <v>21.1</v>
      </c>
      <c r="G41" t="s">
        <v>496</v>
      </c>
      <c r="H41" t="s">
        <v>497</v>
      </c>
      <c r="I41" s="3">
        <f t="shared" si="1"/>
        <v>1.4500000000000001E-2</v>
      </c>
      <c r="J41" s="1" t="s">
        <v>14</v>
      </c>
      <c r="K41">
        <v>10</v>
      </c>
    </row>
    <row r="42" spans="1:11">
      <c r="A42" s="5" t="s">
        <v>384</v>
      </c>
      <c r="B42" t="s">
        <v>88</v>
      </c>
      <c r="C42" t="s">
        <v>385</v>
      </c>
      <c r="D42" s="2">
        <f t="shared" si="0"/>
        <v>1840</v>
      </c>
      <c r="E42">
        <v>5.6</v>
      </c>
      <c r="F42">
        <v>30.8</v>
      </c>
      <c r="G42" t="s">
        <v>386</v>
      </c>
      <c r="H42" t="s">
        <v>247</v>
      </c>
      <c r="I42" s="3">
        <f t="shared" si="1"/>
        <v>2.23E-2</v>
      </c>
      <c r="J42" s="1" t="s">
        <v>14</v>
      </c>
      <c r="K42">
        <v>10</v>
      </c>
    </row>
    <row r="43" spans="1:11">
      <c r="A43" s="5" t="s">
        <v>207</v>
      </c>
      <c r="B43" t="s">
        <v>208</v>
      </c>
      <c r="C43" t="s">
        <v>209</v>
      </c>
      <c r="D43" s="2">
        <f t="shared" si="0"/>
        <v>1780</v>
      </c>
      <c r="E43">
        <v>2.4</v>
      </c>
      <c r="F43">
        <v>16.8</v>
      </c>
      <c r="G43" t="s">
        <v>182</v>
      </c>
      <c r="H43" t="s">
        <v>210</v>
      </c>
      <c r="I43" s="3">
        <f t="shared" si="1"/>
        <v>1.2200000000000001E-2</v>
      </c>
      <c r="J43" s="1" t="s">
        <v>14</v>
      </c>
      <c r="K43">
        <v>10</v>
      </c>
    </row>
    <row r="44" spans="1:11">
      <c r="A44" s="5" t="s">
        <v>667</v>
      </c>
      <c r="B44" t="s">
        <v>148</v>
      </c>
      <c r="C44" t="s">
        <v>668</v>
      </c>
      <c r="D44" s="2">
        <f t="shared" si="0"/>
        <v>1740</v>
      </c>
      <c r="E44">
        <v>2.8</v>
      </c>
      <c r="F44">
        <v>26.5</v>
      </c>
      <c r="G44" t="s">
        <v>246</v>
      </c>
      <c r="H44" t="s">
        <v>480</v>
      </c>
      <c r="I44" s="3">
        <f t="shared" si="1"/>
        <v>1.7600000000000001E-2</v>
      </c>
      <c r="J44" s="1" t="s">
        <v>14</v>
      </c>
      <c r="K44">
        <v>10</v>
      </c>
    </row>
    <row r="45" spans="1:11">
      <c r="A45" s="5" t="s">
        <v>568</v>
      </c>
      <c r="B45" t="s">
        <v>225</v>
      </c>
      <c r="C45" t="s">
        <v>569</v>
      </c>
      <c r="D45" s="2">
        <f t="shared" si="0"/>
        <v>1740</v>
      </c>
      <c r="E45">
        <v>0.9</v>
      </c>
      <c r="F45">
        <v>18.5</v>
      </c>
      <c r="G45" t="s">
        <v>570</v>
      </c>
      <c r="H45" t="s">
        <v>57</v>
      </c>
      <c r="I45" s="3">
        <f t="shared" si="1"/>
        <v>1.2699999999999999E-2</v>
      </c>
      <c r="J45" s="1" t="s">
        <v>14</v>
      </c>
      <c r="K45">
        <v>10</v>
      </c>
    </row>
    <row r="46" spans="1:11">
      <c r="A46" s="5" t="s">
        <v>469</v>
      </c>
      <c r="B46" t="s">
        <v>121</v>
      </c>
      <c r="C46" t="s">
        <v>385</v>
      </c>
      <c r="D46" s="2">
        <f t="shared" si="0"/>
        <v>1690</v>
      </c>
      <c r="E46">
        <v>3.9</v>
      </c>
      <c r="F46">
        <v>54.8</v>
      </c>
      <c r="G46" t="s">
        <v>401</v>
      </c>
      <c r="H46" t="s">
        <v>470</v>
      </c>
      <c r="I46" s="3">
        <f t="shared" si="1"/>
        <v>3.78E-2</v>
      </c>
      <c r="J46" s="1" t="s">
        <v>14</v>
      </c>
      <c r="K46">
        <v>8</v>
      </c>
    </row>
    <row r="47" spans="1:11">
      <c r="A47" s="5" t="s">
        <v>769</v>
      </c>
      <c r="B47" t="s">
        <v>283</v>
      </c>
      <c r="C47" t="s">
        <v>284</v>
      </c>
      <c r="D47" s="2">
        <f t="shared" si="0"/>
        <v>1580</v>
      </c>
      <c r="E47">
        <v>2.7</v>
      </c>
      <c r="F47">
        <v>62.6</v>
      </c>
      <c r="G47" t="s">
        <v>12</v>
      </c>
      <c r="H47" t="s">
        <v>285</v>
      </c>
      <c r="I47" s="3">
        <f t="shared" si="1"/>
        <v>4.82E-2</v>
      </c>
      <c r="J47" s="1" t="s">
        <v>14</v>
      </c>
      <c r="K47">
        <v>10</v>
      </c>
    </row>
    <row r="48" spans="1:11">
      <c r="A48" s="5" t="s">
        <v>456</v>
      </c>
      <c r="B48" t="s">
        <v>217</v>
      </c>
      <c r="C48" t="s">
        <v>457</v>
      </c>
      <c r="D48" s="2">
        <f t="shared" si="0"/>
        <v>1450</v>
      </c>
      <c r="E48">
        <v>2.4</v>
      </c>
      <c r="F48">
        <v>36</v>
      </c>
      <c r="G48" t="s">
        <v>458</v>
      </c>
      <c r="H48" t="s">
        <v>274</v>
      </c>
      <c r="I48" s="3">
        <f t="shared" si="1"/>
        <v>2.9399999999999999E-2</v>
      </c>
      <c r="J48" s="1" t="s">
        <v>14</v>
      </c>
      <c r="K48">
        <v>10</v>
      </c>
    </row>
    <row r="49" spans="1:11">
      <c r="A49" s="5" t="s">
        <v>265</v>
      </c>
      <c r="B49" t="s">
        <v>152</v>
      </c>
      <c r="C49" t="s">
        <v>45</v>
      </c>
      <c r="D49" s="2">
        <f t="shared" si="0"/>
        <v>1410</v>
      </c>
      <c r="E49">
        <v>2</v>
      </c>
      <c r="F49">
        <v>22.6</v>
      </c>
      <c r="G49" t="s">
        <v>266</v>
      </c>
      <c r="H49" t="s">
        <v>228</v>
      </c>
      <c r="I49" s="3">
        <f t="shared" si="1"/>
        <v>1.9300000000000001E-2</v>
      </c>
      <c r="J49" s="1" t="s">
        <v>14</v>
      </c>
      <c r="K49">
        <v>10</v>
      </c>
    </row>
    <row r="50" spans="1:11">
      <c r="A50" s="5" t="s">
        <v>502</v>
      </c>
      <c r="B50" t="s">
        <v>118</v>
      </c>
      <c r="C50" t="s">
        <v>503</v>
      </c>
      <c r="D50" s="2">
        <f t="shared" si="0"/>
        <v>1400</v>
      </c>
      <c r="E50">
        <v>0.8</v>
      </c>
      <c r="F50">
        <v>27.8</v>
      </c>
      <c r="G50" t="s">
        <v>504</v>
      </c>
      <c r="H50" t="s">
        <v>505</v>
      </c>
      <c r="I50" s="3">
        <f t="shared" si="1"/>
        <v>2.3300000000000001E-2</v>
      </c>
      <c r="J50" s="1" t="s">
        <v>14</v>
      </c>
      <c r="K50">
        <v>10</v>
      </c>
    </row>
    <row r="51" spans="1:11">
      <c r="A51" s="5" t="s">
        <v>746</v>
      </c>
      <c r="B51" t="s">
        <v>375</v>
      </c>
      <c r="C51" t="s">
        <v>747</v>
      </c>
      <c r="D51" s="2">
        <f t="shared" si="0"/>
        <v>1390</v>
      </c>
      <c r="E51">
        <v>2.2999999999999998</v>
      </c>
      <c r="F51">
        <v>16.2</v>
      </c>
      <c r="G51" t="s">
        <v>573</v>
      </c>
      <c r="H51" t="s">
        <v>550</v>
      </c>
      <c r="I51" s="3">
        <f t="shared" si="1"/>
        <v>1.54E-2</v>
      </c>
      <c r="J51" s="1" t="s">
        <v>14</v>
      </c>
      <c r="K51">
        <v>10</v>
      </c>
    </row>
    <row r="52" spans="1:11">
      <c r="A52" s="5" t="s">
        <v>545</v>
      </c>
      <c r="B52" t="s">
        <v>148</v>
      </c>
      <c r="C52" t="s">
        <v>546</v>
      </c>
      <c r="D52" s="2">
        <f t="shared" si="0"/>
        <v>1370</v>
      </c>
      <c r="E52">
        <v>1.5</v>
      </c>
      <c r="F52">
        <v>35.5</v>
      </c>
      <c r="G52" t="s">
        <v>496</v>
      </c>
      <c r="H52" t="s">
        <v>547</v>
      </c>
      <c r="I52" s="3">
        <f t="shared" si="1"/>
        <v>3.1199999999999999E-2</v>
      </c>
      <c r="J52" s="1" t="s">
        <v>14</v>
      </c>
      <c r="K52">
        <v>8</v>
      </c>
    </row>
    <row r="53" spans="1:11">
      <c r="A53" s="5" t="s">
        <v>627</v>
      </c>
      <c r="B53" t="s">
        <v>225</v>
      </c>
      <c r="C53" t="s">
        <v>40</v>
      </c>
      <c r="D53" s="2">
        <f t="shared" si="0"/>
        <v>1360</v>
      </c>
      <c r="E53">
        <v>1.8</v>
      </c>
      <c r="F53">
        <v>27.4</v>
      </c>
      <c r="G53" t="s">
        <v>376</v>
      </c>
      <c r="H53" t="s">
        <v>628</v>
      </c>
      <c r="I53" s="3">
        <f t="shared" si="1"/>
        <v>2.4899999999999999E-2</v>
      </c>
      <c r="J53" s="1" t="s">
        <v>14</v>
      </c>
      <c r="K53">
        <v>10</v>
      </c>
    </row>
    <row r="54" spans="1:11">
      <c r="A54" s="5" t="s">
        <v>272</v>
      </c>
      <c r="B54" t="s">
        <v>121</v>
      </c>
      <c r="C54" t="s">
        <v>273</v>
      </c>
      <c r="D54" s="2">
        <f t="shared" si="0"/>
        <v>1230</v>
      </c>
      <c r="E54">
        <v>3.7</v>
      </c>
      <c r="F54">
        <v>49.6</v>
      </c>
      <c r="G54" t="s">
        <v>274</v>
      </c>
      <c r="H54" t="s">
        <v>275</v>
      </c>
      <c r="I54" s="3">
        <f t="shared" si="1"/>
        <v>4.7600000000000003E-2</v>
      </c>
      <c r="J54" s="1" t="s">
        <v>14</v>
      </c>
      <c r="K54">
        <v>10</v>
      </c>
    </row>
    <row r="55" spans="1:11">
      <c r="A55" s="5" t="s">
        <v>343</v>
      </c>
      <c r="B55" t="s">
        <v>217</v>
      </c>
      <c r="C55" t="s">
        <v>344</v>
      </c>
      <c r="D55" s="2">
        <f t="shared" si="0"/>
        <v>1170</v>
      </c>
      <c r="E55">
        <v>1.6</v>
      </c>
      <c r="F55">
        <v>22.8</v>
      </c>
      <c r="G55" t="s">
        <v>345</v>
      </c>
      <c r="H55" t="s">
        <v>346</v>
      </c>
      <c r="I55" s="3">
        <f t="shared" si="1"/>
        <v>2.3599999999999999E-2</v>
      </c>
      <c r="J55" s="1" t="s">
        <v>14</v>
      </c>
      <c r="K55">
        <v>8</v>
      </c>
    </row>
    <row r="56" spans="1:11">
      <c r="A56" s="5" t="s">
        <v>543</v>
      </c>
      <c r="B56" t="s">
        <v>121</v>
      </c>
      <c r="C56" t="s">
        <v>544</v>
      </c>
      <c r="D56" s="2">
        <f t="shared" si="0"/>
        <v>1140</v>
      </c>
      <c r="E56">
        <v>1.3</v>
      </c>
      <c r="F56">
        <v>12.7</v>
      </c>
      <c r="G56" t="s">
        <v>376</v>
      </c>
      <c r="H56" t="s">
        <v>526</v>
      </c>
      <c r="I56" s="3">
        <f t="shared" si="1"/>
        <v>1.34E-2</v>
      </c>
      <c r="J56" s="1" t="s">
        <v>14</v>
      </c>
      <c r="K56">
        <v>10</v>
      </c>
    </row>
    <row r="57" spans="1:11">
      <c r="A57" s="5" t="s">
        <v>638</v>
      </c>
      <c r="B57" t="s">
        <v>121</v>
      </c>
      <c r="C57" t="s">
        <v>562</v>
      </c>
      <c r="D57" s="2">
        <f t="shared" si="0"/>
        <v>1090</v>
      </c>
      <c r="E57">
        <v>2.6</v>
      </c>
      <c r="F57">
        <v>26.8</v>
      </c>
      <c r="G57" t="s">
        <v>386</v>
      </c>
      <c r="H57" t="s">
        <v>639</v>
      </c>
      <c r="I57" s="3">
        <f t="shared" si="1"/>
        <v>2.98E-2</v>
      </c>
      <c r="J57" s="1" t="s">
        <v>14</v>
      </c>
      <c r="K57">
        <v>10</v>
      </c>
    </row>
    <row r="58" spans="1:11">
      <c r="A58" s="5" t="s">
        <v>551</v>
      </c>
      <c r="B58" t="s">
        <v>50</v>
      </c>
      <c r="C58" t="s">
        <v>552</v>
      </c>
      <c r="D58" s="2">
        <f t="shared" si="0"/>
        <v>1080</v>
      </c>
      <c r="E58">
        <v>1.1000000000000001</v>
      </c>
      <c r="F58">
        <v>28.2</v>
      </c>
      <c r="G58" t="s">
        <v>553</v>
      </c>
      <c r="H58" t="s">
        <v>424</v>
      </c>
      <c r="I58" s="3">
        <f t="shared" si="1"/>
        <v>3.1E-2</v>
      </c>
      <c r="J58" s="1" t="s">
        <v>14</v>
      </c>
      <c r="K58">
        <v>10</v>
      </c>
    </row>
    <row r="59" spans="1:11">
      <c r="A59" s="5" t="s">
        <v>728</v>
      </c>
      <c r="B59" t="s">
        <v>50</v>
      </c>
      <c r="C59" t="s">
        <v>562</v>
      </c>
      <c r="D59" s="2">
        <f t="shared" si="0"/>
        <v>1050</v>
      </c>
      <c r="E59">
        <v>0.8</v>
      </c>
      <c r="F59">
        <v>40.299999999999997</v>
      </c>
      <c r="G59" t="s">
        <v>648</v>
      </c>
      <c r="H59" t="s">
        <v>729</v>
      </c>
      <c r="I59" s="3">
        <f t="shared" si="1"/>
        <v>4.8300000000000003E-2</v>
      </c>
      <c r="J59" s="1" t="s">
        <v>14</v>
      </c>
      <c r="K59">
        <v>8</v>
      </c>
    </row>
    <row r="60" spans="1:11">
      <c r="A60" s="5" t="s">
        <v>353</v>
      </c>
      <c r="B60" t="s">
        <v>50</v>
      </c>
      <c r="C60" t="s">
        <v>354</v>
      </c>
      <c r="D60" s="2">
        <f t="shared" si="0"/>
        <v>1030</v>
      </c>
      <c r="E60">
        <v>1.9</v>
      </c>
      <c r="F60">
        <v>36.6</v>
      </c>
      <c r="G60" t="s">
        <v>355</v>
      </c>
      <c r="H60" t="s">
        <v>356</v>
      </c>
      <c r="I60" s="3">
        <f t="shared" si="1"/>
        <v>4.2700000000000002E-2</v>
      </c>
      <c r="J60" s="1" t="s">
        <v>14</v>
      </c>
      <c r="K60">
        <v>10</v>
      </c>
    </row>
    <row r="61" spans="1:11">
      <c r="A61" s="5" t="s">
        <v>561</v>
      </c>
      <c r="B61" t="s">
        <v>132</v>
      </c>
      <c r="C61" t="s">
        <v>562</v>
      </c>
      <c r="D61" s="2">
        <f t="shared" si="0"/>
        <v>1010</v>
      </c>
      <c r="E61">
        <v>1.7</v>
      </c>
      <c r="F61">
        <v>56.2</v>
      </c>
      <c r="G61" t="s">
        <v>563</v>
      </c>
      <c r="H61" t="s">
        <v>308</v>
      </c>
      <c r="I61" s="3">
        <f t="shared" si="1"/>
        <v>6.0499999999999998E-2</v>
      </c>
      <c r="J61" s="1" t="s">
        <v>14</v>
      </c>
      <c r="K61">
        <v>10</v>
      </c>
    </row>
    <row r="62" spans="1:11">
      <c r="A62" s="5" t="s">
        <v>49</v>
      </c>
      <c r="B62" t="s">
        <v>50</v>
      </c>
      <c r="C62" t="s">
        <v>51</v>
      </c>
      <c r="D62" s="2">
        <f t="shared" si="0"/>
        <v>1010</v>
      </c>
      <c r="E62">
        <v>2.2000000000000002</v>
      </c>
      <c r="F62">
        <v>33.200000000000003</v>
      </c>
      <c r="G62" t="s">
        <v>52</v>
      </c>
      <c r="H62" t="s">
        <v>53</v>
      </c>
      <c r="I62" s="3">
        <f t="shared" si="1"/>
        <v>3.9899999999999998E-2</v>
      </c>
      <c r="J62" s="1" t="s">
        <v>14</v>
      </c>
      <c r="K62">
        <v>10</v>
      </c>
    </row>
    <row r="63" spans="1:11">
      <c r="A63" s="5" t="s">
        <v>389</v>
      </c>
      <c r="B63" t="s">
        <v>225</v>
      </c>
      <c r="C63" t="s">
        <v>390</v>
      </c>
      <c r="D63" s="2">
        <f t="shared" si="0"/>
        <v>1010</v>
      </c>
      <c r="E63">
        <v>1</v>
      </c>
      <c r="F63">
        <v>21.8</v>
      </c>
      <c r="G63" t="s">
        <v>391</v>
      </c>
      <c r="H63" t="s">
        <v>274</v>
      </c>
      <c r="I63" s="3">
        <f t="shared" si="1"/>
        <v>2.9399999999999999E-2</v>
      </c>
      <c r="J63" s="1" t="s">
        <v>14</v>
      </c>
      <c r="K63">
        <v>10</v>
      </c>
    </row>
    <row r="64" spans="1:11">
      <c r="A64" s="5" t="s">
        <v>629</v>
      </c>
      <c r="B64" t="s">
        <v>148</v>
      </c>
      <c r="C64" t="s">
        <v>98</v>
      </c>
      <c r="D64" s="2">
        <f t="shared" si="0"/>
        <v>1000</v>
      </c>
      <c r="E64">
        <v>5</v>
      </c>
      <c r="F64">
        <v>18.7</v>
      </c>
      <c r="G64" t="s">
        <v>156</v>
      </c>
      <c r="H64" t="s">
        <v>178</v>
      </c>
      <c r="I64" s="3">
        <f t="shared" si="1"/>
        <v>2.2800000000000001E-2</v>
      </c>
      <c r="J64" s="1" t="s">
        <v>14</v>
      </c>
      <c r="K64">
        <v>7</v>
      </c>
    </row>
    <row r="65" spans="1:11">
      <c r="A65" s="6" t="s">
        <v>548</v>
      </c>
      <c r="B65" t="s">
        <v>109</v>
      </c>
      <c r="C65" t="s">
        <v>549</v>
      </c>
      <c r="D65" s="2">
        <f t="shared" si="0"/>
        <v>960</v>
      </c>
      <c r="E65">
        <v>1.2</v>
      </c>
      <c r="F65">
        <v>12.3</v>
      </c>
      <c r="G65" t="s">
        <v>176</v>
      </c>
      <c r="H65" t="s">
        <v>550</v>
      </c>
      <c r="I65" s="3">
        <f t="shared" si="1"/>
        <v>1.54E-2</v>
      </c>
      <c r="J65" s="1" t="s">
        <v>14</v>
      </c>
      <c r="K65">
        <v>10</v>
      </c>
    </row>
    <row r="66" spans="1:11">
      <c r="A66" s="6" t="s">
        <v>289</v>
      </c>
      <c r="B66" t="s">
        <v>118</v>
      </c>
      <c r="C66" t="s">
        <v>290</v>
      </c>
      <c r="D66" s="2">
        <f t="shared" ref="D66:D129" si="2">B66+C66</f>
        <v>950</v>
      </c>
      <c r="E66">
        <v>4.2</v>
      </c>
      <c r="F66">
        <v>56</v>
      </c>
      <c r="G66" t="s">
        <v>221</v>
      </c>
      <c r="H66" t="s">
        <v>291</v>
      </c>
      <c r="I66" s="3">
        <f t="shared" ref="I66:I129" si="3">H66+0</f>
        <v>6.8199999999999997E-2</v>
      </c>
      <c r="J66" s="1" t="s">
        <v>14</v>
      </c>
      <c r="K66">
        <v>10</v>
      </c>
    </row>
    <row r="67" spans="1:11">
      <c r="A67" s="6" t="s">
        <v>387</v>
      </c>
      <c r="B67" t="s">
        <v>283</v>
      </c>
      <c r="C67" t="s">
        <v>334</v>
      </c>
      <c r="D67" s="2">
        <f t="shared" si="2"/>
        <v>910</v>
      </c>
      <c r="E67">
        <v>0.5</v>
      </c>
      <c r="F67">
        <v>6.8</v>
      </c>
      <c r="G67" t="s">
        <v>147</v>
      </c>
      <c r="H67" t="s">
        <v>150</v>
      </c>
      <c r="I67" s="3">
        <f t="shared" si="3"/>
        <v>9.1000000000000004E-3</v>
      </c>
      <c r="J67" s="1" t="s">
        <v>14</v>
      </c>
      <c r="K67">
        <v>8</v>
      </c>
    </row>
    <row r="68" spans="1:11">
      <c r="A68" s="6" t="s">
        <v>428</v>
      </c>
      <c r="B68" t="s">
        <v>133</v>
      </c>
      <c r="C68" t="s">
        <v>192</v>
      </c>
      <c r="D68" s="2">
        <f t="shared" si="2"/>
        <v>890</v>
      </c>
      <c r="E68">
        <v>0.2</v>
      </c>
      <c r="F68">
        <v>12.5</v>
      </c>
      <c r="G68" t="s">
        <v>429</v>
      </c>
      <c r="H68" t="s">
        <v>430</v>
      </c>
      <c r="I68" s="3">
        <f t="shared" si="3"/>
        <v>1.66E-2</v>
      </c>
      <c r="J68" s="1" t="s">
        <v>14</v>
      </c>
      <c r="K68">
        <v>10</v>
      </c>
    </row>
    <row r="69" spans="1:11">
      <c r="A69" s="6" t="s">
        <v>333</v>
      </c>
      <c r="B69" t="s">
        <v>148</v>
      </c>
      <c r="C69" t="s">
        <v>334</v>
      </c>
      <c r="D69" s="2">
        <f t="shared" si="2"/>
        <v>880</v>
      </c>
      <c r="E69">
        <v>3.8</v>
      </c>
      <c r="F69">
        <v>29</v>
      </c>
      <c r="G69" t="s">
        <v>335</v>
      </c>
      <c r="H69" t="s">
        <v>336</v>
      </c>
      <c r="I69" s="3">
        <f t="shared" si="3"/>
        <v>4.1200000000000001E-2</v>
      </c>
      <c r="J69" s="1" t="s">
        <v>14</v>
      </c>
      <c r="K69">
        <v>10</v>
      </c>
    </row>
    <row r="70" spans="1:11">
      <c r="A70" s="6" t="s">
        <v>191</v>
      </c>
      <c r="B70" t="s">
        <v>50</v>
      </c>
      <c r="C70" t="s">
        <v>192</v>
      </c>
      <c r="D70" s="2">
        <f t="shared" si="2"/>
        <v>880</v>
      </c>
      <c r="E70">
        <v>0.1</v>
      </c>
      <c r="F70">
        <v>17</v>
      </c>
      <c r="G70" t="s">
        <v>193</v>
      </c>
      <c r="H70" t="s">
        <v>194</v>
      </c>
      <c r="I70" s="3">
        <f t="shared" si="3"/>
        <v>2.2700000000000001E-2</v>
      </c>
      <c r="J70" s="1" t="s">
        <v>14</v>
      </c>
      <c r="K70">
        <v>8</v>
      </c>
    </row>
    <row r="71" spans="1:11">
      <c r="A71" s="6" t="s">
        <v>326</v>
      </c>
      <c r="B71" t="s">
        <v>50</v>
      </c>
      <c r="C71" t="s">
        <v>327</v>
      </c>
      <c r="D71" s="2">
        <f t="shared" si="2"/>
        <v>860</v>
      </c>
      <c r="E71">
        <v>1.4</v>
      </c>
      <c r="F71">
        <v>26.2</v>
      </c>
      <c r="G71" t="s">
        <v>95</v>
      </c>
      <c r="H71" t="s">
        <v>328</v>
      </c>
      <c r="I71" s="3">
        <f t="shared" si="3"/>
        <v>3.5299999999999998E-2</v>
      </c>
      <c r="J71" s="1" t="s">
        <v>14</v>
      </c>
      <c r="K71">
        <v>10</v>
      </c>
    </row>
    <row r="72" spans="1:11">
      <c r="A72" s="6" t="s">
        <v>726</v>
      </c>
      <c r="B72" t="s">
        <v>118</v>
      </c>
      <c r="C72" t="s">
        <v>334</v>
      </c>
      <c r="D72" s="2">
        <f t="shared" si="2"/>
        <v>840</v>
      </c>
      <c r="E72">
        <v>0.9</v>
      </c>
      <c r="F72">
        <v>10</v>
      </c>
      <c r="G72" t="s">
        <v>210</v>
      </c>
      <c r="H72" t="s">
        <v>452</v>
      </c>
      <c r="I72" s="3">
        <f t="shared" si="3"/>
        <v>1.44E-2</v>
      </c>
      <c r="J72" s="1" t="s">
        <v>14</v>
      </c>
      <c r="K72">
        <v>8</v>
      </c>
    </row>
    <row r="73" spans="1:11">
      <c r="A73" s="6" t="s">
        <v>540</v>
      </c>
      <c r="B73" t="s">
        <v>132</v>
      </c>
      <c r="C73" t="s">
        <v>334</v>
      </c>
      <c r="D73" s="2">
        <f t="shared" si="2"/>
        <v>810</v>
      </c>
      <c r="E73">
        <v>0.7</v>
      </c>
      <c r="F73">
        <v>13.5</v>
      </c>
      <c r="G73" t="s">
        <v>541</v>
      </c>
      <c r="H73" t="s">
        <v>542</v>
      </c>
      <c r="I73" s="3">
        <f t="shared" si="3"/>
        <v>1.89E-2</v>
      </c>
      <c r="J73" s="1" t="s">
        <v>14</v>
      </c>
      <c r="K73">
        <v>10</v>
      </c>
    </row>
    <row r="74" spans="1:11">
      <c r="A74" s="6" t="s">
        <v>719</v>
      </c>
      <c r="B74" t="s">
        <v>125</v>
      </c>
      <c r="C74" t="s">
        <v>720</v>
      </c>
      <c r="D74" s="2">
        <f t="shared" si="2"/>
        <v>770</v>
      </c>
      <c r="E74">
        <v>2.2999999999999998</v>
      </c>
      <c r="F74">
        <v>41</v>
      </c>
      <c r="G74" t="s">
        <v>721</v>
      </c>
      <c r="H74" t="s">
        <v>722</v>
      </c>
      <c r="I74" s="3">
        <f t="shared" si="3"/>
        <v>6.1499999999999999E-2</v>
      </c>
      <c r="J74" s="1" t="s">
        <v>14</v>
      </c>
      <c r="K74">
        <v>8</v>
      </c>
    </row>
    <row r="75" spans="1:11">
      <c r="A75" s="6" t="s">
        <v>617</v>
      </c>
      <c r="B75" t="s">
        <v>125</v>
      </c>
      <c r="C75" t="s">
        <v>618</v>
      </c>
      <c r="D75" s="2">
        <f t="shared" si="2"/>
        <v>730</v>
      </c>
      <c r="E75">
        <v>1.6</v>
      </c>
      <c r="F75">
        <v>20.3</v>
      </c>
      <c r="G75" t="s">
        <v>619</v>
      </c>
      <c r="H75" t="s">
        <v>577</v>
      </c>
      <c r="I75" s="3">
        <f t="shared" si="3"/>
        <v>3.27E-2</v>
      </c>
      <c r="J75" s="1" t="s">
        <v>14</v>
      </c>
      <c r="K75">
        <v>8</v>
      </c>
    </row>
    <row r="76" spans="1:11">
      <c r="A76" s="6" t="s">
        <v>528</v>
      </c>
      <c r="B76" t="s">
        <v>118</v>
      </c>
      <c r="C76" t="s">
        <v>529</v>
      </c>
      <c r="D76" s="2">
        <f t="shared" si="2"/>
        <v>720</v>
      </c>
      <c r="E76">
        <v>1.3</v>
      </c>
      <c r="F76">
        <v>19.3</v>
      </c>
      <c r="G76" t="s">
        <v>201</v>
      </c>
      <c r="H76" t="s">
        <v>530</v>
      </c>
      <c r="I76" s="3">
        <f t="shared" si="3"/>
        <v>3.1600000000000003E-2</v>
      </c>
      <c r="J76" s="1" t="s">
        <v>14</v>
      </c>
      <c r="K76">
        <v>10</v>
      </c>
    </row>
    <row r="77" spans="1:11">
      <c r="A77" s="6" t="s">
        <v>489</v>
      </c>
      <c r="B77" t="s">
        <v>50</v>
      </c>
      <c r="C77" t="s">
        <v>490</v>
      </c>
      <c r="D77" s="2">
        <f t="shared" si="2"/>
        <v>720</v>
      </c>
      <c r="E77">
        <v>1.6</v>
      </c>
      <c r="F77">
        <v>8.5</v>
      </c>
      <c r="G77" t="s">
        <v>371</v>
      </c>
      <c r="H77" t="s">
        <v>491</v>
      </c>
      <c r="I77" s="3">
        <f t="shared" si="3"/>
        <v>1.4200000000000001E-2</v>
      </c>
      <c r="J77" s="1" t="s">
        <v>14</v>
      </c>
      <c r="K77">
        <v>10</v>
      </c>
    </row>
    <row r="78" spans="1:11">
      <c r="A78" s="6" t="s">
        <v>555</v>
      </c>
      <c r="B78" t="s">
        <v>125</v>
      </c>
      <c r="C78" t="s">
        <v>556</v>
      </c>
      <c r="D78" s="2">
        <f t="shared" si="2"/>
        <v>710</v>
      </c>
      <c r="E78">
        <v>0.1</v>
      </c>
      <c r="F78">
        <v>22</v>
      </c>
      <c r="G78" t="s">
        <v>557</v>
      </c>
      <c r="H78" t="s">
        <v>558</v>
      </c>
      <c r="I78" s="3">
        <f t="shared" si="3"/>
        <v>3.5900000000000001E-2</v>
      </c>
      <c r="J78" s="1" t="s">
        <v>14</v>
      </c>
      <c r="K78">
        <v>10</v>
      </c>
    </row>
    <row r="79" spans="1:11">
      <c r="A79" s="6" t="s">
        <v>514</v>
      </c>
      <c r="B79" t="s">
        <v>118</v>
      </c>
      <c r="C79" t="s">
        <v>515</v>
      </c>
      <c r="D79" s="2">
        <f t="shared" si="2"/>
        <v>700</v>
      </c>
      <c r="E79">
        <v>1.6</v>
      </c>
      <c r="F79">
        <v>22.8</v>
      </c>
      <c r="G79" t="s">
        <v>516</v>
      </c>
      <c r="H79" t="s">
        <v>499</v>
      </c>
      <c r="I79" s="3">
        <f t="shared" si="3"/>
        <v>4.0399999999999998E-2</v>
      </c>
      <c r="J79" s="1" t="s">
        <v>14</v>
      </c>
      <c r="K79">
        <v>10</v>
      </c>
    </row>
    <row r="80" spans="1:11">
      <c r="A80" s="6" t="s">
        <v>630</v>
      </c>
      <c r="B80" t="s">
        <v>50</v>
      </c>
      <c r="C80" t="s">
        <v>260</v>
      </c>
      <c r="D80" s="2">
        <f t="shared" si="2"/>
        <v>680</v>
      </c>
      <c r="E80">
        <v>1.8</v>
      </c>
      <c r="F80">
        <v>25.8</v>
      </c>
      <c r="G80" t="s">
        <v>33</v>
      </c>
      <c r="H80" t="s">
        <v>156</v>
      </c>
      <c r="I80" s="3">
        <f t="shared" si="3"/>
        <v>4.7199999999999999E-2</v>
      </c>
      <c r="J80" s="1" t="s">
        <v>14</v>
      </c>
      <c r="K80">
        <v>10</v>
      </c>
    </row>
    <row r="81" spans="1:11">
      <c r="A81" s="6" t="s">
        <v>259</v>
      </c>
      <c r="B81" t="s">
        <v>50</v>
      </c>
      <c r="C81" t="s">
        <v>260</v>
      </c>
      <c r="D81" s="2">
        <f t="shared" si="2"/>
        <v>680</v>
      </c>
      <c r="E81">
        <v>1.9</v>
      </c>
      <c r="F81">
        <v>21.8</v>
      </c>
      <c r="G81" t="s">
        <v>261</v>
      </c>
      <c r="H81" t="s">
        <v>174</v>
      </c>
      <c r="I81" s="3">
        <f t="shared" si="3"/>
        <v>3.9300000000000002E-2</v>
      </c>
      <c r="J81" s="1" t="s">
        <v>14</v>
      </c>
      <c r="K81">
        <v>10</v>
      </c>
    </row>
    <row r="82" spans="1:11">
      <c r="A82" s="6" t="s">
        <v>571</v>
      </c>
      <c r="B82" t="s">
        <v>109</v>
      </c>
      <c r="C82" t="s">
        <v>572</v>
      </c>
      <c r="D82" s="2">
        <f t="shared" si="2"/>
        <v>650</v>
      </c>
      <c r="E82">
        <v>1.1000000000000001</v>
      </c>
      <c r="F82">
        <v>6.8</v>
      </c>
      <c r="G82" t="s">
        <v>420</v>
      </c>
      <c r="H82" t="s">
        <v>573</v>
      </c>
      <c r="I82" s="3">
        <f t="shared" si="3"/>
        <v>1.23E-2</v>
      </c>
      <c r="J82" s="1" t="s">
        <v>14</v>
      </c>
      <c r="K82">
        <v>8</v>
      </c>
    </row>
    <row r="83" spans="1:11">
      <c r="A83" s="6" t="s">
        <v>592</v>
      </c>
      <c r="B83" t="s">
        <v>125</v>
      </c>
      <c r="C83" t="s">
        <v>572</v>
      </c>
      <c r="D83" s="2">
        <f t="shared" si="2"/>
        <v>640</v>
      </c>
      <c r="E83">
        <v>2</v>
      </c>
      <c r="F83">
        <v>22.3</v>
      </c>
      <c r="G83" t="s">
        <v>593</v>
      </c>
      <c r="H83" t="s">
        <v>594</v>
      </c>
      <c r="I83" s="3">
        <f t="shared" si="3"/>
        <v>4.1000000000000002E-2</v>
      </c>
      <c r="J83" s="1" t="s">
        <v>14</v>
      </c>
      <c r="K83">
        <v>8</v>
      </c>
    </row>
    <row r="84" spans="1:11">
      <c r="A84" s="6" t="s">
        <v>620</v>
      </c>
      <c r="B84" t="s">
        <v>132</v>
      </c>
      <c r="C84" t="s">
        <v>260</v>
      </c>
      <c r="D84" s="2">
        <f t="shared" si="2"/>
        <v>640</v>
      </c>
      <c r="E84">
        <v>1.3</v>
      </c>
      <c r="F84">
        <v>21.8</v>
      </c>
      <c r="G84" t="s">
        <v>621</v>
      </c>
      <c r="H84" t="s">
        <v>622</v>
      </c>
      <c r="I84" s="3">
        <f t="shared" si="3"/>
        <v>3.8800000000000001E-2</v>
      </c>
      <c r="J84" s="1" t="s">
        <v>14</v>
      </c>
      <c r="K84">
        <v>7</v>
      </c>
    </row>
    <row r="85" spans="1:11">
      <c r="A85" s="6" t="s">
        <v>403</v>
      </c>
      <c r="B85" t="s">
        <v>132</v>
      </c>
      <c r="C85" t="s">
        <v>260</v>
      </c>
      <c r="D85" s="2">
        <f t="shared" si="2"/>
        <v>640</v>
      </c>
      <c r="E85">
        <v>1.6</v>
      </c>
      <c r="F85">
        <v>21.5</v>
      </c>
      <c r="G85" t="s">
        <v>404</v>
      </c>
      <c r="H85" t="s">
        <v>405</v>
      </c>
      <c r="I85" s="3">
        <f t="shared" si="3"/>
        <v>3.8300000000000001E-2</v>
      </c>
      <c r="J85" s="1" t="s">
        <v>14</v>
      </c>
      <c r="K85">
        <v>10</v>
      </c>
    </row>
    <row r="86" spans="1:11">
      <c r="A86" s="6" t="s">
        <v>646</v>
      </c>
      <c r="B86" t="s">
        <v>109</v>
      </c>
      <c r="C86" t="s">
        <v>507</v>
      </c>
      <c r="D86" s="2">
        <f t="shared" si="2"/>
        <v>620</v>
      </c>
      <c r="E86">
        <v>2.7</v>
      </c>
      <c r="F86">
        <v>31.6</v>
      </c>
      <c r="G86" t="s">
        <v>594</v>
      </c>
      <c r="H86" t="s">
        <v>647</v>
      </c>
      <c r="I86" s="3">
        <f t="shared" si="3"/>
        <v>0.06</v>
      </c>
      <c r="J86" s="1" t="s">
        <v>14</v>
      </c>
      <c r="K86">
        <v>10</v>
      </c>
    </row>
    <row r="87" spans="1:11">
      <c r="A87" s="6" t="s">
        <v>575</v>
      </c>
      <c r="B87" t="s">
        <v>109</v>
      </c>
      <c r="C87" t="s">
        <v>507</v>
      </c>
      <c r="D87" s="2">
        <f t="shared" si="2"/>
        <v>620</v>
      </c>
      <c r="E87">
        <v>0.6</v>
      </c>
      <c r="F87">
        <v>17</v>
      </c>
      <c r="G87" t="s">
        <v>576</v>
      </c>
      <c r="H87" t="s">
        <v>577</v>
      </c>
      <c r="I87" s="3">
        <f t="shared" si="3"/>
        <v>3.27E-2</v>
      </c>
      <c r="J87" s="1" t="s">
        <v>14</v>
      </c>
      <c r="K87">
        <v>10</v>
      </c>
    </row>
    <row r="88" spans="1:11">
      <c r="A88" s="6" t="s">
        <v>506</v>
      </c>
      <c r="B88" t="s">
        <v>125</v>
      </c>
      <c r="C88" t="s">
        <v>507</v>
      </c>
      <c r="D88" s="2">
        <f t="shared" si="2"/>
        <v>610</v>
      </c>
      <c r="E88">
        <v>0.3</v>
      </c>
      <c r="F88">
        <v>7.8</v>
      </c>
      <c r="G88" t="s">
        <v>508</v>
      </c>
      <c r="H88" t="s">
        <v>304</v>
      </c>
      <c r="I88" s="3">
        <f t="shared" si="3"/>
        <v>1.5900000000000001E-2</v>
      </c>
      <c r="J88" s="1" t="s">
        <v>14</v>
      </c>
      <c r="K88">
        <v>8</v>
      </c>
    </row>
    <row r="89" spans="1:11">
      <c r="A89" s="6" t="s">
        <v>615</v>
      </c>
      <c r="B89" t="s">
        <v>125</v>
      </c>
      <c r="C89" t="s">
        <v>519</v>
      </c>
      <c r="D89" s="2">
        <f t="shared" si="2"/>
        <v>600</v>
      </c>
      <c r="E89">
        <v>1.3</v>
      </c>
      <c r="F89">
        <v>26.6</v>
      </c>
      <c r="G89" t="s">
        <v>298</v>
      </c>
      <c r="H89" t="s">
        <v>616</v>
      </c>
      <c r="I89" s="3">
        <f t="shared" si="3"/>
        <v>5.2999999999999999E-2</v>
      </c>
      <c r="J89" s="1" t="s">
        <v>14</v>
      </c>
      <c r="K89">
        <v>10</v>
      </c>
    </row>
    <row r="90" spans="1:11">
      <c r="A90" s="6" t="s">
        <v>511</v>
      </c>
      <c r="B90" t="s">
        <v>109</v>
      </c>
      <c r="C90" t="s">
        <v>512</v>
      </c>
      <c r="D90" s="2">
        <f t="shared" si="2"/>
        <v>600</v>
      </c>
      <c r="E90">
        <v>1.4</v>
      </c>
      <c r="F90">
        <v>22.6</v>
      </c>
      <c r="G90" t="s">
        <v>183</v>
      </c>
      <c r="H90" t="s">
        <v>513</v>
      </c>
      <c r="I90" s="3">
        <f t="shared" si="3"/>
        <v>4.4900000000000002E-2</v>
      </c>
      <c r="J90" s="1" t="s">
        <v>14</v>
      </c>
      <c r="K90">
        <v>10</v>
      </c>
    </row>
    <row r="91" spans="1:11">
      <c r="A91" s="6" t="s">
        <v>518</v>
      </c>
      <c r="B91" t="s">
        <v>132</v>
      </c>
      <c r="C91" t="s">
        <v>519</v>
      </c>
      <c r="D91" s="2">
        <f t="shared" si="2"/>
        <v>590</v>
      </c>
      <c r="E91">
        <v>2.8</v>
      </c>
      <c r="F91">
        <v>26.2</v>
      </c>
      <c r="G91" t="s">
        <v>520</v>
      </c>
      <c r="H91" t="s">
        <v>521</v>
      </c>
      <c r="I91" s="3">
        <f t="shared" si="3"/>
        <v>5.1700000000000003E-2</v>
      </c>
      <c r="J91" s="1" t="s">
        <v>14</v>
      </c>
      <c r="K91">
        <v>10</v>
      </c>
    </row>
    <row r="92" spans="1:11">
      <c r="A92" s="6" t="s">
        <v>852</v>
      </c>
      <c r="B92" t="s">
        <v>125</v>
      </c>
      <c r="C92" t="s">
        <v>512</v>
      </c>
      <c r="D92" s="2">
        <f t="shared" si="2"/>
        <v>590</v>
      </c>
      <c r="E92">
        <v>0.8</v>
      </c>
      <c r="F92">
        <v>16</v>
      </c>
      <c r="G92" t="s">
        <v>475</v>
      </c>
      <c r="H92" t="s">
        <v>601</v>
      </c>
      <c r="I92" s="3">
        <f t="shared" si="3"/>
        <v>3.1399999999999997E-2</v>
      </c>
      <c r="J92" s="1" t="s">
        <v>14</v>
      </c>
      <c r="K92">
        <v>8</v>
      </c>
    </row>
    <row r="93" spans="1:11">
      <c r="A93" s="6" t="s">
        <v>554</v>
      </c>
      <c r="B93" t="s">
        <v>125</v>
      </c>
      <c r="C93" t="s">
        <v>512</v>
      </c>
      <c r="D93" s="2">
        <f t="shared" si="2"/>
        <v>590</v>
      </c>
      <c r="E93">
        <v>1.4</v>
      </c>
      <c r="F93">
        <v>11.3</v>
      </c>
      <c r="G93" t="s">
        <v>407</v>
      </c>
      <c r="H93" t="s">
        <v>194</v>
      </c>
      <c r="I93" s="3">
        <f t="shared" si="3"/>
        <v>2.2700000000000001E-2</v>
      </c>
      <c r="J93" s="1" t="s">
        <v>14</v>
      </c>
      <c r="K93">
        <v>8</v>
      </c>
    </row>
    <row r="94" spans="1:11">
      <c r="A94" s="6" t="s">
        <v>744</v>
      </c>
      <c r="B94" t="s">
        <v>116</v>
      </c>
      <c r="C94" t="s">
        <v>512</v>
      </c>
      <c r="D94" s="2">
        <f t="shared" si="2"/>
        <v>570</v>
      </c>
      <c r="E94">
        <v>0.4</v>
      </c>
      <c r="F94">
        <v>8.3000000000000007</v>
      </c>
      <c r="G94" t="s">
        <v>139</v>
      </c>
      <c r="H94" t="s">
        <v>745</v>
      </c>
      <c r="I94" s="3">
        <f t="shared" si="3"/>
        <v>1.6199999999999999E-2</v>
      </c>
      <c r="J94" s="1" t="s">
        <v>14</v>
      </c>
      <c r="K94">
        <v>10</v>
      </c>
    </row>
    <row r="95" spans="1:11">
      <c r="A95" s="6" t="s">
        <v>124</v>
      </c>
      <c r="B95" t="s">
        <v>125</v>
      </c>
      <c r="C95" t="s">
        <v>126</v>
      </c>
      <c r="D95" s="2">
        <f t="shared" si="2"/>
        <v>570</v>
      </c>
      <c r="E95">
        <v>0.5</v>
      </c>
      <c r="F95">
        <v>6.8</v>
      </c>
      <c r="G95" t="s">
        <v>127</v>
      </c>
      <c r="H95" t="s">
        <v>128</v>
      </c>
      <c r="I95" s="3">
        <f t="shared" si="3"/>
        <v>1.3899999999999999E-2</v>
      </c>
      <c r="J95" s="1" t="s">
        <v>14</v>
      </c>
      <c r="K95">
        <v>8</v>
      </c>
    </row>
    <row r="96" spans="1:11">
      <c r="A96" s="6" t="s">
        <v>409</v>
      </c>
      <c r="B96" t="s">
        <v>132</v>
      </c>
      <c r="C96" t="s">
        <v>410</v>
      </c>
      <c r="D96" s="2">
        <f t="shared" si="2"/>
        <v>540</v>
      </c>
      <c r="E96">
        <v>1.4</v>
      </c>
      <c r="F96">
        <v>26.5</v>
      </c>
      <c r="G96" t="s">
        <v>411</v>
      </c>
      <c r="H96" t="s">
        <v>412</v>
      </c>
      <c r="I96" s="3">
        <f t="shared" si="3"/>
        <v>5.4800000000000001E-2</v>
      </c>
      <c r="J96" s="1" t="s">
        <v>14</v>
      </c>
      <c r="K96">
        <v>10</v>
      </c>
    </row>
    <row r="97" spans="1:11">
      <c r="A97" s="6" t="s">
        <v>853</v>
      </c>
      <c r="B97" t="s">
        <v>116</v>
      </c>
      <c r="C97" t="s">
        <v>742</v>
      </c>
      <c r="D97" s="2">
        <f t="shared" si="2"/>
        <v>540</v>
      </c>
      <c r="E97">
        <v>1</v>
      </c>
      <c r="F97">
        <v>8.8000000000000007</v>
      </c>
      <c r="G97" t="s">
        <v>73</v>
      </c>
      <c r="H97" t="s">
        <v>201</v>
      </c>
      <c r="I97" s="3">
        <f t="shared" si="3"/>
        <v>1.8100000000000002E-2</v>
      </c>
      <c r="J97" s="1" t="s">
        <v>14</v>
      </c>
      <c r="K97">
        <v>8</v>
      </c>
    </row>
    <row r="98" spans="1:11">
      <c r="A98" s="6" t="s">
        <v>268</v>
      </c>
      <c r="B98" t="s">
        <v>132</v>
      </c>
      <c r="C98" t="s">
        <v>269</v>
      </c>
      <c r="D98" s="2">
        <f t="shared" si="2"/>
        <v>530</v>
      </c>
      <c r="E98">
        <v>2.4</v>
      </c>
      <c r="F98">
        <v>47.3</v>
      </c>
      <c r="G98" t="s">
        <v>270</v>
      </c>
      <c r="H98" t="s">
        <v>271</v>
      </c>
      <c r="I98" s="3">
        <f t="shared" si="3"/>
        <v>0.10100000000000001</v>
      </c>
      <c r="J98" s="1" t="s">
        <v>14</v>
      </c>
      <c r="K98">
        <v>8</v>
      </c>
    </row>
    <row r="99" spans="1:11">
      <c r="A99" s="6" t="s">
        <v>468</v>
      </c>
      <c r="B99" t="s">
        <v>132</v>
      </c>
      <c r="C99" t="s">
        <v>269</v>
      </c>
      <c r="D99" s="2">
        <f t="shared" si="2"/>
        <v>530</v>
      </c>
      <c r="E99">
        <v>1.8</v>
      </c>
      <c r="F99">
        <v>21.5</v>
      </c>
      <c r="G99" t="s">
        <v>404</v>
      </c>
      <c r="H99" t="s">
        <v>314</v>
      </c>
      <c r="I99" s="3">
        <f t="shared" si="3"/>
        <v>4.5900000000000003E-2</v>
      </c>
      <c r="J99" s="1" t="s">
        <v>14</v>
      </c>
      <c r="K99">
        <v>8</v>
      </c>
    </row>
    <row r="100" spans="1:11">
      <c r="A100" s="6" t="s">
        <v>713</v>
      </c>
      <c r="B100" t="s">
        <v>125</v>
      </c>
      <c r="C100" t="s">
        <v>645</v>
      </c>
      <c r="D100" s="2">
        <f t="shared" si="2"/>
        <v>530</v>
      </c>
      <c r="E100">
        <v>1.2</v>
      </c>
      <c r="F100">
        <v>17.5</v>
      </c>
      <c r="G100" t="s">
        <v>442</v>
      </c>
      <c r="H100" t="s">
        <v>405</v>
      </c>
      <c r="I100" s="3">
        <f t="shared" si="3"/>
        <v>3.8300000000000001E-2</v>
      </c>
      <c r="J100" s="1" t="s">
        <v>14</v>
      </c>
      <c r="K100">
        <v>10</v>
      </c>
    </row>
    <row r="101" spans="1:11">
      <c r="A101" s="6" t="s">
        <v>644</v>
      </c>
      <c r="B101" t="s">
        <v>116</v>
      </c>
      <c r="C101" t="s">
        <v>645</v>
      </c>
      <c r="D101" s="2">
        <f t="shared" si="2"/>
        <v>510</v>
      </c>
      <c r="E101">
        <v>0.6</v>
      </c>
      <c r="F101">
        <v>22.5</v>
      </c>
      <c r="G101" t="s">
        <v>541</v>
      </c>
      <c r="H101" t="s">
        <v>120</v>
      </c>
      <c r="I101" s="3">
        <f t="shared" si="3"/>
        <v>5.0799999999999998E-2</v>
      </c>
      <c r="J101" s="1" t="s">
        <v>14</v>
      </c>
      <c r="K101">
        <v>10</v>
      </c>
    </row>
    <row r="102" spans="1:11">
      <c r="A102" s="6" t="s">
        <v>609</v>
      </c>
      <c r="B102" t="s">
        <v>116</v>
      </c>
      <c r="C102" t="s">
        <v>203</v>
      </c>
      <c r="D102" s="2">
        <f t="shared" si="2"/>
        <v>500</v>
      </c>
      <c r="E102">
        <v>0.9</v>
      </c>
      <c r="F102">
        <v>11.8</v>
      </c>
      <c r="G102" t="s">
        <v>173</v>
      </c>
      <c r="H102" t="s">
        <v>48</v>
      </c>
      <c r="I102" s="3">
        <f t="shared" si="3"/>
        <v>2.7199999999999998E-2</v>
      </c>
      <c r="J102" s="1" t="s">
        <v>14</v>
      </c>
      <c r="K102">
        <v>10</v>
      </c>
    </row>
    <row r="103" spans="1:11">
      <c r="A103" s="6" t="s">
        <v>324</v>
      </c>
      <c r="B103" t="s">
        <v>118</v>
      </c>
      <c r="C103" t="s">
        <v>325</v>
      </c>
      <c r="D103" s="2">
        <f t="shared" si="2"/>
        <v>470</v>
      </c>
      <c r="E103">
        <v>1</v>
      </c>
      <c r="F103">
        <v>6.3</v>
      </c>
      <c r="G103" t="s">
        <v>58</v>
      </c>
      <c r="H103" t="s">
        <v>220</v>
      </c>
      <c r="I103" s="3">
        <f t="shared" si="3"/>
        <v>1.6899999999999998E-2</v>
      </c>
      <c r="J103" s="1" t="s">
        <v>14</v>
      </c>
      <c r="K103">
        <v>10</v>
      </c>
    </row>
    <row r="104" spans="1:11">
      <c r="A104" s="6" t="s">
        <v>450</v>
      </c>
      <c r="B104" t="s">
        <v>108</v>
      </c>
      <c r="C104" t="s">
        <v>451</v>
      </c>
      <c r="D104" s="2">
        <f t="shared" si="2"/>
        <v>470</v>
      </c>
      <c r="E104">
        <v>0.9</v>
      </c>
      <c r="F104">
        <v>6.3</v>
      </c>
      <c r="G104" t="s">
        <v>245</v>
      </c>
      <c r="H104" t="s">
        <v>452</v>
      </c>
      <c r="I104" s="3">
        <f t="shared" si="3"/>
        <v>1.44E-2</v>
      </c>
      <c r="J104" s="1" t="s">
        <v>14</v>
      </c>
      <c r="K104">
        <v>8</v>
      </c>
    </row>
    <row r="105" spans="1:11">
      <c r="A105" s="6" t="s">
        <v>413</v>
      </c>
      <c r="B105" t="s">
        <v>50</v>
      </c>
      <c r="C105" t="s">
        <v>138</v>
      </c>
      <c r="D105" s="2">
        <f t="shared" si="2"/>
        <v>460</v>
      </c>
      <c r="E105">
        <v>4.5</v>
      </c>
      <c r="F105">
        <v>21.3</v>
      </c>
      <c r="G105" t="s">
        <v>414</v>
      </c>
      <c r="H105" t="s">
        <v>415</v>
      </c>
      <c r="I105" s="3">
        <f t="shared" si="3"/>
        <v>6.1199999999999997E-2</v>
      </c>
      <c r="J105" s="1" t="s">
        <v>14</v>
      </c>
      <c r="K105">
        <v>10</v>
      </c>
    </row>
    <row r="106" spans="1:11">
      <c r="A106" s="6" t="s">
        <v>723</v>
      </c>
      <c r="B106" t="s">
        <v>109</v>
      </c>
      <c r="C106" t="s">
        <v>325</v>
      </c>
      <c r="D106" s="2">
        <f t="shared" si="2"/>
        <v>460</v>
      </c>
      <c r="E106">
        <v>2.2999999999999998</v>
      </c>
      <c r="F106">
        <v>20</v>
      </c>
      <c r="G106" t="s">
        <v>724</v>
      </c>
      <c r="H106" t="s">
        <v>725</v>
      </c>
      <c r="I106" s="3">
        <f t="shared" si="3"/>
        <v>5.4100000000000002E-2</v>
      </c>
      <c r="J106" s="1" t="s">
        <v>14</v>
      </c>
      <c r="K106">
        <v>10</v>
      </c>
    </row>
    <row r="107" spans="1:11">
      <c r="A107" s="6" t="s">
        <v>649</v>
      </c>
      <c r="B107" t="s">
        <v>116</v>
      </c>
      <c r="C107" t="s">
        <v>378</v>
      </c>
      <c r="D107" s="2">
        <f t="shared" si="2"/>
        <v>460</v>
      </c>
      <c r="E107">
        <v>1.8</v>
      </c>
      <c r="F107">
        <v>18.8</v>
      </c>
      <c r="G107" t="s">
        <v>650</v>
      </c>
      <c r="H107" t="s">
        <v>631</v>
      </c>
      <c r="I107" s="3">
        <f t="shared" si="3"/>
        <v>4.6899999999999997E-2</v>
      </c>
      <c r="J107" s="1" t="s">
        <v>14</v>
      </c>
      <c r="K107">
        <v>10</v>
      </c>
    </row>
    <row r="108" spans="1:11">
      <c r="A108" s="6" t="s">
        <v>683</v>
      </c>
      <c r="B108" t="s">
        <v>132</v>
      </c>
      <c r="C108" t="s">
        <v>393</v>
      </c>
      <c r="D108" s="2">
        <f t="shared" si="2"/>
        <v>460</v>
      </c>
      <c r="E108">
        <v>0.4</v>
      </c>
      <c r="F108">
        <v>12.8</v>
      </c>
      <c r="G108" t="s">
        <v>684</v>
      </c>
      <c r="H108" t="s">
        <v>22</v>
      </c>
      <c r="I108" s="3">
        <f t="shared" si="3"/>
        <v>3.3399999999999999E-2</v>
      </c>
      <c r="J108" s="1" t="s">
        <v>14</v>
      </c>
      <c r="K108">
        <v>8</v>
      </c>
    </row>
    <row r="109" spans="1:11">
      <c r="A109" s="6" t="s">
        <v>377</v>
      </c>
      <c r="B109" t="s">
        <v>116</v>
      </c>
      <c r="C109" t="s">
        <v>378</v>
      </c>
      <c r="D109" s="2">
        <f t="shared" si="2"/>
        <v>460</v>
      </c>
      <c r="E109">
        <v>0.3</v>
      </c>
      <c r="F109">
        <v>8.5</v>
      </c>
      <c r="G109" t="s">
        <v>379</v>
      </c>
      <c r="H109" t="s">
        <v>62</v>
      </c>
      <c r="I109" s="3">
        <f t="shared" si="3"/>
        <v>2.0799999999999999E-2</v>
      </c>
      <c r="J109" s="1" t="s">
        <v>14</v>
      </c>
      <c r="K109">
        <v>8</v>
      </c>
    </row>
    <row r="110" spans="1:11">
      <c r="A110" s="6" t="s">
        <v>660</v>
      </c>
      <c r="B110" t="s">
        <v>109</v>
      </c>
      <c r="C110" t="s">
        <v>325</v>
      </c>
      <c r="D110" s="2">
        <f t="shared" si="2"/>
        <v>460</v>
      </c>
      <c r="E110">
        <v>0</v>
      </c>
      <c r="F110">
        <v>2.5</v>
      </c>
      <c r="G110" t="s">
        <v>110</v>
      </c>
      <c r="H110" t="s">
        <v>661</v>
      </c>
      <c r="I110" s="3">
        <f t="shared" si="3"/>
        <v>6.6E-3</v>
      </c>
      <c r="J110" s="1" t="s">
        <v>14</v>
      </c>
      <c r="K110">
        <v>10</v>
      </c>
    </row>
    <row r="111" spans="1:11">
      <c r="A111" s="6" t="s">
        <v>392</v>
      </c>
      <c r="B111" t="s">
        <v>116</v>
      </c>
      <c r="C111" t="s">
        <v>393</v>
      </c>
      <c r="D111" s="2">
        <f t="shared" si="2"/>
        <v>450</v>
      </c>
      <c r="E111">
        <v>0.5</v>
      </c>
      <c r="F111">
        <v>12</v>
      </c>
      <c r="G111" t="s">
        <v>366</v>
      </c>
      <c r="H111" t="s">
        <v>394</v>
      </c>
      <c r="I111" s="3">
        <f t="shared" si="3"/>
        <v>3.0099999999999998E-2</v>
      </c>
      <c r="J111" s="1" t="s">
        <v>14</v>
      </c>
      <c r="K111">
        <v>8</v>
      </c>
    </row>
    <row r="112" spans="1:11">
      <c r="A112" s="6" t="s">
        <v>656</v>
      </c>
      <c r="B112" t="s">
        <v>116</v>
      </c>
      <c r="C112" t="s">
        <v>307</v>
      </c>
      <c r="D112" s="2">
        <f t="shared" si="2"/>
        <v>440</v>
      </c>
      <c r="E112">
        <v>0.8</v>
      </c>
      <c r="F112">
        <v>19.3</v>
      </c>
      <c r="G112" t="s">
        <v>454</v>
      </c>
      <c r="H112" t="s">
        <v>657</v>
      </c>
      <c r="I112" s="3">
        <f t="shared" si="3"/>
        <v>5.0299999999999997E-2</v>
      </c>
      <c r="J112" s="1" t="s">
        <v>14</v>
      </c>
      <c r="K112">
        <v>8</v>
      </c>
    </row>
    <row r="113" spans="1:11">
      <c r="A113" s="6" t="s">
        <v>306</v>
      </c>
      <c r="B113" t="s">
        <v>116</v>
      </c>
      <c r="C113" t="s">
        <v>307</v>
      </c>
      <c r="D113" s="2">
        <f t="shared" si="2"/>
        <v>440</v>
      </c>
      <c r="E113">
        <v>1.9</v>
      </c>
      <c r="F113">
        <v>11.5</v>
      </c>
      <c r="G113" t="s">
        <v>308</v>
      </c>
      <c r="H113" t="s">
        <v>309</v>
      </c>
      <c r="I113" s="3">
        <f t="shared" si="3"/>
        <v>3.0200000000000001E-2</v>
      </c>
      <c r="J113" s="1" t="s">
        <v>14</v>
      </c>
      <c r="K113">
        <v>8</v>
      </c>
    </row>
    <row r="114" spans="1:11">
      <c r="A114" s="6" t="s">
        <v>137</v>
      </c>
      <c r="B114" t="s">
        <v>125</v>
      </c>
      <c r="C114" t="s">
        <v>138</v>
      </c>
      <c r="D114" s="2">
        <f t="shared" si="2"/>
        <v>430</v>
      </c>
      <c r="E114">
        <v>0.6</v>
      </c>
      <c r="F114">
        <v>8</v>
      </c>
      <c r="G114" t="s">
        <v>139</v>
      </c>
      <c r="H114" t="s">
        <v>140</v>
      </c>
      <c r="I114" s="3">
        <f t="shared" si="3"/>
        <v>2.29E-2</v>
      </c>
      <c r="J114" s="1" t="s">
        <v>14</v>
      </c>
      <c r="K114">
        <v>10</v>
      </c>
    </row>
    <row r="115" spans="1:11">
      <c r="A115" s="6" t="s">
        <v>302</v>
      </c>
      <c r="B115" t="s">
        <v>109</v>
      </c>
      <c r="C115" t="s">
        <v>303</v>
      </c>
      <c r="D115" s="2">
        <f t="shared" si="2"/>
        <v>430</v>
      </c>
      <c r="E115">
        <v>0.9</v>
      </c>
      <c r="F115">
        <v>7.8</v>
      </c>
      <c r="G115" t="s">
        <v>304</v>
      </c>
      <c r="H115" t="s">
        <v>305</v>
      </c>
      <c r="I115" s="3">
        <f t="shared" si="3"/>
        <v>2.1600000000000001E-2</v>
      </c>
      <c r="J115" s="1" t="s">
        <v>14</v>
      </c>
      <c r="K115">
        <v>7</v>
      </c>
    </row>
    <row r="116" spans="1:11">
      <c r="A116" s="6" t="s">
        <v>590</v>
      </c>
      <c r="B116" t="s">
        <v>116</v>
      </c>
      <c r="C116" t="s">
        <v>236</v>
      </c>
      <c r="D116" s="2">
        <f t="shared" si="2"/>
        <v>420</v>
      </c>
      <c r="E116">
        <v>1.3</v>
      </c>
      <c r="F116">
        <v>15.3</v>
      </c>
      <c r="G116" t="s">
        <v>119</v>
      </c>
      <c r="H116" t="s">
        <v>591</v>
      </c>
      <c r="I116" s="3">
        <f t="shared" si="3"/>
        <v>4.0899999999999999E-2</v>
      </c>
      <c r="J116" s="1" t="s">
        <v>14</v>
      </c>
      <c r="K116">
        <v>8</v>
      </c>
    </row>
    <row r="117" spans="1:11">
      <c r="A117" s="6" t="s">
        <v>235</v>
      </c>
      <c r="B117" t="s">
        <v>116</v>
      </c>
      <c r="C117" t="s">
        <v>236</v>
      </c>
      <c r="D117" s="2">
        <f t="shared" si="2"/>
        <v>420</v>
      </c>
      <c r="E117">
        <v>0.7</v>
      </c>
      <c r="F117">
        <v>6.3</v>
      </c>
      <c r="G117" t="s">
        <v>237</v>
      </c>
      <c r="H117" t="s">
        <v>238</v>
      </c>
      <c r="I117" s="3">
        <f t="shared" si="3"/>
        <v>1.7299999999999999E-2</v>
      </c>
      <c r="J117" s="1" t="s">
        <v>14</v>
      </c>
      <c r="K117">
        <v>10</v>
      </c>
    </row>
    <row r="118" spans="1:11">
      <c r="A118" s="6" t="s">
        <v>295</v>
      </c>
      <c r="B118" t="s">
        <v>109</v>
      </c>
      <c r="C118" t="s">
        <v>70</v>
      </c>
      <c r="D118" s="2">
        <f t="shared" si="2"/>
        <v>410</v>
      </c>
      <c r="E118">
        <v>1.9</v>
      </c>
      <c r="F118">
        <v>12</v>
      </c>
      <c r="G118" t="s">
        <v>242</v>
      </c>
      <c r="H118" t="s">
        <v>296</v>
      </c>
      <c r="I118" s="3">
        <f t="shared" si="3"/>
        <v>3.6299999999999999E-2</v>
      </c>
      <c r="J118" s="1" t="s">
        <v>14</v>
      </c>
      <c r="K118">
        <v>8</v>
      </c>
    </row>
    <row r="119" spans="1:11">
      <c r="A119" s="6" t="s">
        <v>363</v>
      </c>
      <c r="B119" t="s">
        <v>125</v>
      </c>
      <c r="C119" t="s">
        <v>212</v>
      </c>
      <c r="D119" s="2">
        <f t="shared" si="2"/>
        <v>410</v>
      </c>
      <c r="E119">
        <v>0.9</v>
      </c>
      <c r="F119">
        <v>4</v>
      </c>
      <c r="G119" t="s">
        <v>364</v>
      </c>
      <c r="H119" t="s">
        <v>219</v>
      </c>
      <c r="I119" s="3">
        <f t="shared" si="3"/>
        <v>1.21E-2</v>
      </c>
      <c r="J119" s="1" t="s">
        <v>14</v>
      </c>
      <c r="K119">
        <v>8</v>
      </c>
    </row>
    <row r="120" spans="1:11">
      <c r="A120" s="6" t="s">
        <v>170</v>
      </c>
      <c r="B120" t="s">
        <v>132</v>
      </c>
      <c r="C120" t="s">
        <v>70</v>
      </c>
      <c r="D120" s="2">
        <f t="shared" si="2"/>
        <v>390</v>
      </c>
      <c r="E120">
        <v>0.8</v>
      </c>
      <c r="F120">
        <v>16</v>
      </c>
      <c r="G120" t="s">
        <v>171</v>
      </c>
      <c r="H120" t="s">
        <v>172</v>
      </c>
      <c r="I120" s="3">
        <f t="shared" si="3"/>
        <v>4.87E-2</v>
      </c>
      <c r="J120" s="1" t="s">
        <v>14</v>
      </c>
      <c r="K120">
        <v>8</v>
      </c>
    </row>
    <row r="121" spans="1:11">
      <c r="A121" s="6" t="s">
        <v>211</v>
      </c>
      <c r="B121" t="s">
        <v>116</v>
      </c>
      <c r="C121" t="s">
        <v>212</v>
      </c>
      <c r="D121" s="2">
        <f t="shared" si="2"/>
        <v>390</v>
      </c>
      <c r="E121">
        <v>0.4</v>
      </c>
      <c r="F121">
        <v>8.5</v>
      </c>
      <c r="G121" t="s">
        <v>57</v>
      </c>
      <c r="H121" t="s">
        <v>213</v>
      </c>
      <c r="I121" s="3">
        <f t="shared" si="3"/>
        <v>2.4799999999999999E-2</v>
      </c>
      <c r="J121" s="1" t="s">
        <v>14</v>
      </c>
      <c r="K121">
        <v>7</v>
      </c>
    </row>
    <row r="122" spans="1:11">
      <c r="A122" s="6" t="s">
        <v>755</v>
      </c>
      <c r="B122" t="s">
        <v>125</v>
      </c>
      <c r="C122" t="s">
        <v>287</v>
      </c>
      <c r="D122" s="2">
        <f t="shared" si="2"/>
        <v>390</v>
      </c>
      <c r="E122">
        <v>1.6</v>
      </c>
      <c r="F122">
        <v>7.8</v>
      </c>
      <c r="G122" t="s">
        <v>756</v>
      </c>
      <c r="H122" t="s">
        <v>261</v>
      </c>
      <c r="I122" s="3">
        <f t="shared" si="3"/>
        <v>2.4400000000000002E-2</v>
      </c>
      <c r="J122" s="1" t="s">
        <v>14</v>
      </c>
      <c r="K122">
        <v>8</v>
      </c>
    </row>
    <row r="123" spans="1:11">
      <c r="A123" s="6" t="s">
        <v>337</v>
      </c>
      <c r="B123" t="s">
        <v>116</v>
      </c>
      <c r="C123" t="s">
        <v>70</v>
      </c>
      <c r="D123" s="2">
        <f t="shared" si="2"/>
        <v>380</v>
      </c>
      <c r="E123">
        <v>0.3</v>
      </c>
      <c r="F123">
        <v>5.3</v>
      </c>
      <c r="G123" t="s">
        <v>279</v>
      </c>
      <c r="H123" t="s">
        <v>171</v>
      </c>
      <c r="I123" s="3">
        <f t="shared" si="3"/>
        <v>1.6E-2</v>
      </c>
      <c r="J123" s="1" t="s">
        <v>14</v>
      </c>
      <c r="K123">
        <v>8</v>
      </c>
    </row>
    <row r="124" spans="1:11">
      <c r="A124" s="6" t="s">
        <v>703</v>
      </c>
      <c r="B124" t="s">
        <v>108</v>
      </c>
      <c r="C124" t="s">
        <v>212</v>
      </c>
      <c r="D124" s="2">
        <f t="shared" si="2"/>
        <v>380</v>
      </c>
      <c r="E124">
        <v>0</v>
      </c>
      <c r="F124">
        <v>5.3</v>
      </c>
      <c r="G124" t="s">
        <v>110</v>
      </c>
      <c r="H124" t="s">
        <v>704</v>
      </c>
      <c r="I124" s="3">
        <f t="shared" si="3"/>
        <v>1.5299999999999999E-2</v>
      </c>
      <c r="J124" s="1" t="s">
        <v>14</v>
      </c>
      <c r="K124">
        <v>8</v>
      </c>
    </row>
    <row r="125" spans="1:11">
      <c r="A125" s="6" t="s">
        <v>522</v>
      </c>
      <c r="B125" t="s">
        <v>132</v>
      </c>
      <c r="C125" t="s">
        <v>523</v>
      </c>
      <c r="D125" s="2">
        <f t="shared" si="2"/>
        <v>370</v>
      </c>
      <c r="E125">
        <v>1.5</v>
      </c>
      <c r="F125">
        <v>16.8</v>
      </c>
      <c r="G125" t="s">
        <v>249</v>
      </c>
      <c r="H125" t="s">
        <v>524</v>
      </c>
      <c r="I125" s="3">
        <f t="shared" si="3"/>
        <v>5.3100000000000001E-2</v>
      </c>
      <c r="J125" s="1" t="s">
        <v>14</v>
      </c>
      <c r="K125">
        <v>8</v>
      </c>
    </row>
    <row r="126" spans="1:11">
      <c r="A126" s="6" t="s">
        <v>566</v>
      </c>
      <c r="B126" t="s">
        <v>132</v>
      </c>
      <c r="C126" t="s">
        <v>523</v>
      </c>
      <c r="D126" s="2">
        <f t="shared" si="2"/>
        <v>370</v>
      </c>
      <c r="E126">
        <v>1.4</v>
      </c>
      <c r="F126">
        <v>11.8</v>
      </c>
      <c r="G126" t="s">
        <v>411</v>
      </c>
      <c r="H126" t="s">
        <v>567</v>
      </c>
      <c r="I126" s="3">
        <f t="shared" si="3"/>
        <v>3.6600000000000001E-2</v>
      </c>
      <c r="J126" s="1" t="s">
        <v>14</v>
      </c>
      <c r="K126">
        <v>10</v>
      </c>
    </row>
    <row r="127" spans="1:11">
      <c r="A127" s="6" t="s">
        <v>685</v>
      </c>
      <c r="B127" t="s">
        <v>116</v>
      </c>
      <c r="C127" t="s">
        <v>287</v>
      </c>
      <c r="D127" s="2">
        <f t="shared" si="2"/>
        <v>370</v>
      </c>
      <c r="E127">
        <v>0.6</v>
      </c>
      <c r="F127">
        <v>9.8000000000000007</v>
      </c>
      <c r="G127" t="s">
        <v>130</v>
      </c>
      <c r="H127" t="s">
        <v>547</v>
      </c>
      <c r="I127" s="3">
        <f t="shared" si="3"/>
        <v>3.1199999999999999E-2</v>
      </c>
      <c r="J127" s="1" t="s">
        <v>14</v>
      </c>
      <c r="K127">
        <v>7</v>
      </c>
    </row>
    <row r="128" spans="1:11">
      <c r="A128" s="6" t="s">
        <v>662</v>
      </c>
      <c r="B128" t="s">
        <v>109</v>
      </c>
      <c r="C128" t="s">
        <v>208</v>
      </c>
      <c r="D128" s="2">
        <f t="shared" si="2"/>
        <v>360</v>
      </c>
      <c r="E128">
        <v>0.6</v>
      </c>
      <c r="F128">
        <v>9.8000000000000007</v>
      </c>
      <c r="G128" t="s">
        <v>663</v>
      </c>
      <c r="H128" t="s">
        <v>478</v>
      </c>
      <c r="I128" s="3">
        <f t="shared" si="3"/>
        <v>3.4299999999999997E-2</v>
      </c>
      <c r="J128" s="1" t="s">
        <v>14</v>
      </c>
      <c r="K128">
        <v>10</v>
      </c>
    </row>
    <row r="129" spans="1:11">
      <c r="A129" s="6" t="s">
        <v>574</v>
      </c>
      <c r="B129" t="s">
        <v>118</v>
      </c>
      <c r="C129" t="s">
        <v>231</v>
      </c>
      <c r="D129" s="2">
        <f t="shared" si="2"/>
        <v>360</v>
      </c>
      <c r="E129">
        <v>2</v>
      </c>
      <c r="F129">
        <v>6.8</v>
      </c>
      <c r="G129" t="s">
        <v>449</v>
      </c>
      <c r="H129" t="s">
        <v>188</v>
      </c>
      <c r="I129" s="3">
        <f t="shared" si="3"/>
        <v>2.4E-2</v>
      </c>
      <c r="J129" s="1" t="s">
        <v>14</v>
      </c>
      <c r="K129">
        <v>10</v>
      </c>
    </row>
    <row r="130" spans="1:11">
      <c r="A130" s="6" t="s">
        <v>419</v>
      </c>
      <c r="B130" t="s">
        <v>125</v>
      </c>
      <c r="C130" t="s">
        <v>293</v>
      </c>
      <c r="D130" s="2">
        <f t="shared" ref="D130:D193" si="4">B130+C130</f>
        <v>360</v>
      </c>
      <c r="E130">
        <v>2</v>
      </c>
      <c r="F130">
        <v>5</v>
      </c>
      <c r="G130" t="s">
        <v>112</v>
      </c>
      <c r="H130" t="s">
        <v>420</v>
      </c>
      <c r="I130" s="3">
        <f t="shared" ref="I130:I193" si="5">H130+0</f>
        <v>1.7100000000000001E-2</v>
      </c>
      <c r="J130" s="1" t="s">
        <v>14</v>
      </c>
      <c r="K130">
        <v>8</v>
      </c>
    </row>
    <row r="131" spans="1:11">
      <c r="A131" s="6" t="s">
        <v>688</v>
      </c>
      <c r="B131" t="s">
        <v>132</v>
      </c>
      <c r="C131" t="s">
        <v>293</v>
      </c>
      <c r="D131" s="2">
        <f t="shared" si="4"/>
        <v>350</v>
      </c>
      <c r="E131">
        <v>0.7</v>
      </c>
      <c r="F131">
        <v>5.6</v>
      </c>
      <c r="G131" t="s">
        <v>254</v>
      </c>
      <c r="H131" t="s">
        <v>96</v>
      </c>
      <c r="I131" s="3">
        <f t="shared" si="5"/>
        <v>2.01E-2</v>
      </c>
      <c r="J131" s="1" t="s">
        <v>14</v>
      </c>
      <c r="K131">
        <v>7</v>
      </c>
    </row>
    <row r="132" spans="1:11">
      <c r="A132" s="6" t="s">
        <v>368</v>
      </c>
      <c r="B132" t="s">
        <v>108</v>
      </c>
      <c r="C132" t="s">
        <v>263</v>
      </c>
      <c r="D132" s="2">
        <f t="shared" si="4"/>
        <v>340</v>
      </c>
      <c r="E132">
        <v>0.6</v>
      </c>
      <c r="F132">
        <v>4.3</v>
      </c>
      <c r="G132" t="s">
        <v>351</v>
      </c>
      <c r="H132" t="s">
        <v>149</v>
      </c>
      <c r="I132" s="3">
        <f t="shared" si="5"/>
        <v>1.43E-2</v>
      </c>
      <c r="J132" s="1" t="s">
        <v>14</v>
      </c>
      <c r="K132">
        <v>10</v>
      </c>
    </row>
    <row r="133" spans="1:11">
      <c r="A133" s="6" t="s">
        <v>292</v>
      </c>
      <c r="B133" t="s">
        <v>108</v>
      </c>
      <c r="C133" t="s">
        <v>293</v>
      </c>
      <c r="D133" s="2">
        <f t="shared" si="4"/>
        <v>330</v>
      </c>
      <c r="E133">
        <v>0.7</v>
      </c>
      <c r="F133">
        <v>15.5</v>
      </c>
      <c r="G133" t="s">
        <v>277</v>
      </c>
      <c r="H133" t="s">
        <v>294</v>
      </c>
      <c r="I133" s="3">
        <f t="shared" si="5"/>
        <v>5.4399999999999997E-2</v>
      </c>
      <c r="J133" s="1" t="s">
        <v>14</v>
      </c>
      <c r="K133">
        <v>7</v>
      </c>
    </row>
    <row r="134" spans="1:11">
      <c r="A134" s="6" t="s">
        <v>607</v>
      </c>
      <c r="B134" t="s">
        <v>116</v>
      </c>
      <c r="C134" t="s">
        <v>208</v>
      </c>
      <c r="D134" s="2">
        <f t="shared" si="4"/>
        <v>330</v>
      </c>
      <c r="E134">
        <v>0.6</v>
      </c>
      <c r="F134">
        <v>12</v>
      </c>
      <c r="G134" t="s">
        <v>180</v>
      </c>
      <c r="H134" t="s">
        <v>608</v>
      </c>
      <c r="I134" s="3">
        <f t="shared" si="5"/>
        <v>4.2599999999999999E-2</v>
      </c>
      <c r="J134" s="1" t="s">
        <v>14</v>
      </c>
      <c r="K134">
        <v>8</v>
      </c>
    </row>
    <row r="135" spans="1:11">
      <c r="A135" s="6" t="s">
        <v>230</v>
      </c>
      <c r="B135" t="s">
        <v>116</v>
      </c>
      <c r="C135" t="s">
        <v>231</v>
      </c>
      <c r="D135" s="2">
        <f t="shared" si="4"/>
        <v>320</v>
      </c>
      <c r="E135">
        <v>2.2999999999999998</v>
      </c>
      <c r="F135">
        <v>21.9</v>
      </c>
      <c r="G135" t="s">
        <v>232</v>
      </c>
      <c r="H135" t="s">
        <v>233</v>
      </c>
      <c r="I135" s="3">
        <f t="shared" si="5"/>
        <v>8.0399999999999999E-2</v>
      </c>
      <c r="J135" s="1" t="s">
        <v>14</v>
      </c>
      <c r="K135">
        <v>10</v>
      </c>
    </row>
    <row r="136" spans="1:11">
      <c r="A136" s="6" t="s">
        <v>582</v>
      </c>
      <c r="B136" t="s">
        <v>108</v>
      </c>
      <c r="C136" t="s">
        <v>208</v>
      </c>
      <c r="D136" s="2">
        <f t="shared" si="4"/>
        <v>320</v>
      </c>
      <c r="E136">
        <v>0.5</v>
      </c>
      <c r="F136">
        <v>13</v>
      </c>
      <c r="G136" t="s">
        <v>338</v>
      </c>
      <c r="H136" t="s">
        <v>583</v>
      </c>
      <c r="I136" s="3">
        <f t="shared" si="5"/>
        <v>4.7500000000000001E-2</v>
      </c>
      <c r="J136" s="1" t="s">
        <v>14</v>
      </c>
      <c r="K136">
        <v>8</v>
      </c>
    </row>
    <row r="137" spans="1:11">
      <c r="A137" s="6" t="s">
        <v>244</v>
      </c>
      <c r="B137" t="s">
        <v>108</v>
      </c>
      <c r="C137" t="s">
        <v>208</v>
      </c>
      <c r="D137" s="2">
        <f t="shared" si="4"/>
        <v>320</v>
      </c>
      <c r="E137">
        <v>0</v>
      </c>
      <c r="F137">
        <v>9.8000000000000007</v>
      </c>
      <c r="G137" t="s">
        <v>110</v>
      </c>
      <c r="H137" t="s">
        <v>245</v>
      </c>
      <c r="I137" s="3">
        <f t="shared" si="5"/>
        <v>3.3700000000000001E-2</v>
      </c>
      <c r="J137" s="1" t="s">
        <v>14</v>
      </c>
      <c r="K137">
        <v>8</v>
      </c>
    </row>
    <row r="138" spans="1:11">
      <c r="A138" s="6" t="s">
        <v>486</v>
      </c>
      <c r="B138" t="s">
        <v>132</v>
      </c>
      <c r="C138" t="s">
        <v>161</v>
      </c>
      <c r="D138" s="2">
        <f t="shared" si="4"/>
        <v>320</v>
      </c>
      <c r="E138">
        <v>0.7</v>
      </c>
      <c r="F138">
        <v>6</v>
      </c>
      <c r="G138" t="s">
        <v>171</v>
      </c>
      <c r="H138" t="s">
        <v>487</v>
      </c>
      <c r="I138" s="3">
        <f t="shared" si="5"/>
        <v>2.3199999999999998E-2</v>
      </c>
      <c r="J138" s="1" t="s">
        <v>14</v>
      </c>
      <c r="K138">
        <v>10</v>
      </c>
    </row>
    <row r="139" spans="1:11">
      <c r="A139" s="6" t="s">
        <v>579</v>
      </c>
      <c r="B139" t="s">
        <v>116</v>
      </c>
      <c r="C139" t="s">
        <v>161</v>
      </c>
      <c r="D139" s="2">
        <f t="shared" si="4"/>
        <v>310</v>
      </c>
      <c r="E139">
        <v>1.6</v>
      </c>
      <c r="F139">
        <v>11.3</v>
      </c>
      <c r="G139" t="s">
        <v>418</v>
      </c>
      <c r="H139" t="s">
        <v>580</v>
      </c>
      <c r="I139" s="3">
        <f t="shared" si="5"/>
        <v>4.3499999999999997E-2</v>
      </c>
      <c r="J139" s="1" t="s">
        <v>14</v>
      </c>
      <c r="K139">
        <v>8</v>
      </c>
    </row>
    <row r="140" spans="1:11">
      <c r="A140" s="6" t="s">
        <v>754</v>
      </c>
      <c r="B140" t="s">
        <v>108</v>
      </c>
      <c r="C140" t="s">
        <v>231</v>
      </c>
      <c r="D140" s="2">
        <f t="shared" si="4"/>
        <v>310</v>
      </c>
      <c r="E140">
        <v>0.5</v>
      </c>
      <c r="F140">
        <v>10.5</v>
      </c>
      <c r="G140" t="s">
        <v>532</v>
      </c>
      <c r="H140" t="s">
        <v>370</v>
      </c>
      <c r="I140" s="3">
        <f t="shared" si="5"/>
        <v>3.7400000000000003E-2</v>
      </c>
      <c r="J140" s="1" t="s">
        <v>14</v>
      </c>
      <c r="K140">
        <v>8</v>
      </c>
    </row>
    <row r="141" spans="1:11">
      <c r="A141" s="6" t="s">
        <v>459</v>
      </c>
      <c r="B141" t="s">
        <v>108</v>
      </c>
      <c r="C141" t="s">
        <v>231</v>
      </c>
      <c r="D141" s="2">
        <f t="shared" si="4"/>
        <v>310</v>
      </c>
      <c r="E141">
        <v>0.4</v>
      </c>
      <c r="F141">
        <v>10</v>
      </c>
      <c r="G141" t="s">
        <v>128</v>
      </c>
      <c r="H141" t="s">
        <v>460</v>
      </c>
      <c r="I141" s="3">
        <f t="shared" si="5"/>
        <v>3.6200000000000003E-2</v>
      </c>
      <c r="J141" s="1" t="s">
        <v>14</v>
      </c>
      <c r="K141">
        <v>8</v>
      </c>
    </row>
    <row r="142" spans="1:11">
      <c r="A142" s="6" t="s">
        <v>492</v>
      </c>
      <c r="B142" t="s">
        <v>116</v>
      </c>
      <c r="C142" t="s">
        <v>161</v>
      </c>
      <c r="D142" s="2">
        <f t="shared" si="4"/>
        <v>310</v>
      </c>
      <c r="E142">
        <v>1.1000000000000001</v>
      </c>
      <c r="F142">
        <v>6.8</v>
      </c>
      <c r="G142" t="s">
        <v>242</v>
      </c>
      <c r="H142" t="s">
        <v>493</v>
      </c>
      <c r="I142" s="3">
        <f t="shared" si="5"/>
        <v>2.58E-2</v>
      </c>
      <c r="J142" s="1" t="s">
        <v>14</v>
      </c>
      <c r="K142">
        <v>8</v>
      </c>
    </row>
    <row r="143" spans="1:11">
      <c r="A143" s="6" t="s">
        <v>600</v>
      </c>
      <c r="B143" t="s">
        <v>116</v>
      </c>
      <c r="C143" t="s">
        <v>88</v>
      </c>
      <c r="D143" s="2">
        <f t="shared" si="4"/>
        <v>300</v>
      </c>
      <c r="E143">
        <v>0.8</v>
      </c>
      <c r="F143">
        <v>8.3000000000000007</v>
      </c>
      <c r="G143" t="s">
        <v>346</v>
      </c>
      <c r="H143" t="s">
        <v>601</v>
      </c>
      <c r="I143" s="3">
        <f t="shared" si="5"/>
        <v>3.1399999999999997E-2</v>
      </c>
      <c r="J143" s="1" t="s">
        <v>14</v>
      </c>
      <c r="K143">
        <v>10</v>
      </c>
    </row>
    <row r="144" spans="1:11">
      <c r="A144" s="6" t="s">
        <v>533</v>
      </c>
      <c r="B144" t="s">
        <v>116</v>
      </c>
      <c r="C144" t="s">
        <v>534</v>
      </c>
      <c r="D144" s="2">
        <f t="shared" si="4"/>
        <v>290</v>
      </c>
      <c r="E144">
        <v>0.7</v>
      </c>
      <c r="F144">
        <v>13.3</v>
      </c>
      <c r="G144" t="s">
        <v>535</v>
      </c>
      <c r="H144" t="s">
        <v>536</v>
      </c>
      <c r="I144" s="3">
        <f t="shared" si="5"/>
        <v>5.1200000000000002E-2</v>
      </c>
      <c r="J144" s="1" t="s">
        <v>14</v>
      </c>
      <c r="K144">
        <v>10</v>
      </c>
    </row>
    <row r="145" spans="1:11">
      <c r="A145" s="6" t="s">
        <v>175</v>
      </c>
      <c r="B145" t="s">
        <v>132</v>
      </c>
      <c r="C145" t="s">
        <v>35</v>
      </c>
      <c r="D145" s="2">
        <f t="shared" si="4"/>
        <v>290</v>
      </c>
      <c r="E145">
        <v>0.6</v>
      </c>
      <c r="F145">
        <v>7.5</v>
      </c>
      <c r="G145" t="s">
        <v>176</v>
      </c>
      <c r="H145" t="s">
        <v>177</v>
      </c>
      <c r="I145" s="3">
        <f t="shared" si="5"/>
        <v>3.2099999999999997E-2</v>
      </c>
      <c r="J145" s="1" t="s">
        <v>14</v>
      </c>
      <c r="K145">
        <v>10</v>
      </c>
    </row>
    <row r="146" spans="1:11">
      <c r="A146" s="6" t="s">
        <v>651</v>
      </c>
      <c r="B146" t="s">
        <v>108</v>
      </c>
      <c r="C146" t="s">
        <v>534</v>
      </c>
      <c r="D146" s="2">
        <f t="shared" si="4"/>
        <v>280</v>
      </c>
      <c r="E146">
        <v>1.3</v>
      </c>
      <c r="F146">
        <v>22</v>
      </c>
      <c r="G146" t="s">
        <v>652</v>
      </c>
      <c r="H146" t="s">
        <v>653</v>
      </c>
      <c r="I146" s="3">
        <f t="shared" si="5"/>
        <v>8.9099999999999999E-2</v>
      </c>
      <c r="J146" s="1" t="s">
        <v>14</v>
      </c>
      <c r="K146">
        <v>10</v>
      </c>
    </row>
    <row r="147" spans="1:11">
      <c r="A147" s="6" t="s">
        <v>241</v>
      </c>
      <c r="B147" t="s">
        <v>83</v>
      </c>
      <c r="C147" t="s">
        <v>88</v>
      </c>
      <c r="D147" s="2">
        <f t="shared" si="4"/>
        <v>280</v>
      </c>
      <c r="E147">
        <v>0.5</v>
      </c>
      <c r="F147">
        <v>4</v>
      </c>
      <c r="G147" t="s">
        <v>242</v>
      </c>
      <c r="H147" t="s">
        <v>243</v>
      </c>
      <c r="I147" s="3">
        <f t="shared" si="5"/>
        <v>1.5699999999999999E-2</v>
      </c>
      <c r="J147" s="1" t="s">
        <v>14</v>
      </c>
      <c r="K147">
        <v>8</v>
      </c>
    </row>
    <row r="148" spans="1:11">
      <c r="A148" s="6" t="s">
        <v>398</v>
      </c>
      <c r="B148" t="s">
        <v>108</v>
      </c>
      <c r="C148" t="s">
        <v>35</v>
      </c>
      <c r="D148" s="2">
        <f t="shared" si="4"/>
        <v>270</v>
      </c>
      <c r="E148">
        <v>1.1000000000000001</v>
      </c>
      <c r="F148">
        <v>10.3</v>
      </c>
      <c r="G148" t="s">
        <v>122</v>
      </c>
      <c r="H148" t="s">
        <v>119</v>
      </c>
      <c r="I148" s="3">
        <f t="shared" si="5"/>
        <v>4.1700000000000001E-2</v>
      </c>
      <c r="J148" s="1" t="s">
        <v>14</v>
      </c>
      <c r="K148">
        <v>10</v>
      </c>
    </row>
    <row r="149" spans="1:11">
      <c r="A149" s="6" t="s">
        <v>633</v>
      </c>
      <c r="B149" t="s">
        <v>116</v>
      </c>
      <c r="C149" t="s">
        <v>30</v>
      </c>
      <c r="D149" s="2">
        <f t="shared" si="4"/>
        <v>270</v>
      </c>
      <c r="E149">
        <v>0.1</v>
      </c>
      <c r="F149">
        <v>7</v>
      </c>
      <c r="G149" t="s">
        <v>634</v>
      </c>
      <c r="H149" t="s">
        <v>105</v>
      </c>
      <c r="I149" s="3">
        <f t="shared" si="5"/>
        <v>3.2000000000000001E-2</v>
      </c>
      <c r="J149" s="1" t="s">
        <v>14</v>
      </c>
      <c r="K149">
        <v>8</v>
      </c>
    </row>
    <row r="150" spans="1:11">
      <c r="A150" s="6" t="s">
        <v>602</v>
      </c>
      <c r="B150" t="s">
        <v>116</v>
      </c>
      <c r="C150" t="s">
        <v>30</v>
      </c>
      <c r="D150" s="2">
        <f t="shared" si="4"/>
        <v>270</v>
      </c>
      <c r="E150">
        <v>1.1000000000000001</v>
      </c>
      <c r="F150">
        <v>7</v>
      </c>
      <c r="G150" t="s">
        <v>277</v>
      </c>
      <c r="H150" t="s">
        <v>449</v>
      </c>
      <c r="I150" s="3">
        <f t="shared" si="5"/>
        <v>2.9000000000000001E-2</v>
      </c>
      <c r="J150" s="1" t="s">
        <v>14</v>
      </c>
      <c r="K150">
        <v>8</v>
      </c>
    </row>
    <row r="151" spans="1:11">
      <c r="A151" s="6" t="s">
        <v>678</v>
      </c>
      <c r="B151" t="s">
        <v>83</v>
      </c>
      <c r="C151" t="s">
        <v>534</v>
      </c>
      <c r="D151" s="2">
        <f t="shared" si="4"/>
        <v>270</v>
      </c>
      <c r="E151">
        <v>0.1</v>
      </c>
      <c r="F151">
        <v>6.5</v>
      </c>
      <c r="G151" t="s">
        <v>436</v>
      </c>
      <c r="H151" t="s">
        <v>679</v>
      </c>
      <c r="I151" s="3">
        <f t="shared" si="5"/>
        <v>2.64E-2</v>
      </c>
      <c r="J151" s="1" t="s">
        <v>14</v>
      </c>
      <c r="K151">
        <v>10</v>
      </c>
    </row>
    <row r="152" spans="1:11">
      <c r="A152" s="6" t="s">
        <v>595</v>
      </c>
      <c r="B152" t="s">
        <v>83</v>
      </c>
      <c r="C152" t="s">
        <v>534</v>
      </c>
      <c r="D152" s="2">
        <f t="shared" si="4"/>
        <v>270</v>
      </c>
      <c r="E152">
        <v>0</v>
      </c>
      <c r="F152">
        <v>5.5</v>
      </c>
      <c r="G152" t="s">
        <v>110</v>
      </c>
      <c r="H152" t="s">
        <v>200</v>
      </c>
      <c r="I152" s="3">
        <f t="shared" si="5"/>
        <v>2.2100000000000002E-2</v>
      </c>
      <c r="J152" s="1" t="s">
        <v>14</v>
      </c>
      <c r="K152">
        <v>8</v>
      </c>
    </row>
    <row r="153" spans="1:11">
      <c r="A153" s="6" t="s">
        <v>623</v>
      </c>
      <c r="B153" t="s">
        <v>108</v>
      </c>
      <c r="C153" t="s">
        <v>35</v>
      </c>
      <c r="D153" s="2">
        <f t="shared" si="4"/>
        <v>270</v>
      </c>
      <c r="E153">
        <v>1.3</v>
      </c>
      <c r="F153">
        <v>4.8</v>
      </c>
      <c r="G153" t="s">
        <v>624</v>
      </c>
      <c r="H153" t="s">
        <v>114</v>
      </c>
      <c r="I153" s="3">
        <f t="shared" si="5"/>
        <v>1.9699999999999999E-2</v>
      </c>
      <c r="J153" s="1" t="s">
        <v>14</v>
      </c>
      <c r="K153">
        <v>10</v>
      </c>
    </row>
    <row r="154" spans="1:11">
      <c r="A154" s="6" t="s">
        <v>669</v>
      </c>
      <c r="B154" t="s">
        <v>83</v>
      </c>
      <c r="C154" t="s">
        <v>534</v>
      </c>
      <c r="D154" s="2">
        <f t="shared" si="4"/>
        <v>270</v>
      </c>
      <c r="E154">
        <v>0</v>
      </c>
      <c r="F154">
        <v>0.8</v>
      </c>
      <c r="G154" t="s">
        <v>110</v>
      </c>
      <c r="H154" t="s">
        <v>670</v>
      </c>
      <c r="I154" s="3">
        <f t="shared" si="5"/>
        <v>3.0000000000000001E-3</v>
      </c>
      <c r="J154" s="1" t="s">
        <v>14</v>
      </c>
      <c r="K154">
        <v>10</v>
      </c>
    </row>
    <row r="155" spans="1:11">
      <c r="A155" s="6" t="s">
        <v>680</v>
      </c>
      <c r="B155" t="s">
        <v>108</v>
      </c>
      <c r="C155" t="s">
        <v>30</v>
      </c>
      <c r="D155" s="2">
        <f t="shared" si="4"/>
        <v>260</v>
      </c>
      <c r="E155">
        <v>1.6</v>
      </c>
      <c r="F155">
        <v>6</v>
      </c>
      <c r="G155" t="s">
        <v>681</v>
      </c>
      <c r="H155" t="s">
        <v>682</v>
      </c>
      <c r="I155" s="3">
        <f t="shared" si="5"/>
        <v>2.9899999999999999E-2</v>
      </c>
      <c r="J155" s="1" t="s">
        <v>14</v>
      </c>
      <c r="K155">
        <v>7</v>
      </c>
    </row>
    <row r="156" spans="1:11">
      <c r="A156" s="6" t="s">
        <v>750</v>
      </c>
      <c r="B156" t="s">
        <v>83</v>
      </c>
      <c r="C156" t="s">
        <v>35</v>
      </c>
      <c r="D156" s="2">
        <f t="shared" si="4"/>
        <v>260</v>
      </c>
      <c r="E156">
        <v>0.4</v>
      </c>
      <c r="F156">
        <v>2.8</v>
      </c>
      <c r="G156" t="s">
        <v>431</v>
      </c>
      <c r="H156" t="s">
        <v>663</v>
      </c>
      <c r="I156" s="3">
        <f t="shared" si="5"/>
        <v>1.24E-2</v>
      </c>
      <c r="J156" s="1" t="s">
        <v>14</v>
      </c>
      <c r="K156">
        <v>7</v>
      </c>
    </row>
    <row r="157" spans="1:11">
      <c r="A157" s="6" t="s">
        <v>157</v>
      </c>
      <c r="B157" t="s">
        <v>108</v>
      </c>
      <c r="C157" t="s">
        <v>30</v>
      </c>
      <c r="D157" s="2">
        <f t="shared" si="4"/>
        <v>260</v>
      </c>
      <c r="E157">
        <v>0.3</v>
      </c>
      <c r="F157">
        <v>1.8</v>
      </c>
      <c r="G157" t="s">
        <v>158</v>
      </c>
      <c r="H157" t="s">
        <v>159</v>
      </c>
      <c r="I157" s="3">
        <f t="shared" si="5"/>
        <v>7.9000000000000008E-3</v>
      </c>
      <c r="J157" s="1" t="s">
        <v>14</v>
      </c>
      <c r="K157">
        <v>7</v>
      </c>
    </row>
    <row r="158" spans="1:11">
      <c r="A158" s="6" t="s">
        <v>399</v>
      </c>
      <c r="B158" t="s">
        <v>116</v>
      </c>
      <c r="C158" t="s">
        <v>400</v>
      </c>
      <c r="D158" s="2">
        <f t="shared" si="4"/>
        <v>250</v>
      </c>
      <c r="E158">
        <v>0.3</v>
      </c>
      <c r="F158">
        <v>7</v>
      </c>
      <c r="G158" t="s">
        <v>135</v>
      </c>
      <c r="H158" t="s">
        <v>401</v>
      </c>
      <c r="I158" s="3">
        <f t="shared" si="5"/>
        <v>3.3500000000000002E-2</v>
      </c>
      <c r="J158" s="1" t="s">
        <v>14</v>
      </c>
      <c r="K158">
        <v>10</v>
      </c>
    </row>
    <row r="159" spans="1:11">
      <c r="A159" s="6" t="s">
        <v>635</v>
      </c>
      <c r="B159" t="s">
        <v>83</v>
      </c>
      <c r="C159" t="s">
        <v>30</v>
      </c>
      <c r="D159" s="2">
        <f t="shared" si="4"/>
        <v>250</v>
      </c>
      <c r="E159">
        <v>0.1</v>
      </c>
      <c r="F159">
        <v>7</v>
      </c>
      <c r="G159" t="s">
        <v>134</v>
      </c>
      <c r="H159" t="s">
        <v>309</v>
      </c>
      <c r="I159" s="3">
        <f t="shared" si="5"/>
        <v>3.0200000000000001E-2</v>
      </c>
      <c r="J159" s="1" t="s">
        <v>14</v>
      </c>
      <c r="K159">
        <v>8</v>
      </c>
    </row>
    <row r="160" spans="1:11">
      <c r="A160" s="6" t="s">
        <v>673</v>
      </c>
      <c r="B160" t="s">
        <v>83</v>
      </c>
      <c r="C160" t="s">
        <v>674</v>
      </c>
      <c r="D160" s="2">
        <f t="shared" si="4"/>
        <v>240</v>
      </c>
      <c r="E160">
        <v>0</v>
      </c>
      <c r="F160">
        <v>10.5</v>
      </c>
      <c r="G160" t="s">
        <v>110</v>
      </c>
      <c r="H160" t="s">
        <v>285</v>
      </c>
      <c r="I160" s="3">
        <f t="shared" si="5"/>
        <v>4.82E-2</v>
      </c>
      <c r="J160" s="1" t="s">
        <v>14</v>
      </c>
      <c r="K160">
        <v>10</v>
      </c>
    </row>
    <row r="161" spans="1:11">
      <c r="A161" s="6" t="s">
        <v>347</v>
      </c>
      <c r="B161" t="s">
        <v>116</v>
      </c>
      <c r="C161" t="s">
        <v>142</v>
      </c>
      <c r="D161" s="2">
        <f t="shared" si="4"/>
        <v>240</v>
      </c>
      <c r="E161">
        <v>0.3</v>
      </c>
      <c r="F161">
        <v>3.8</v>
      </c>
      <c r="G161" t="s">
        <v>348</v>
      </c>
      <c r="H161" t="s">
        <v>349</v>
      </c>
      <c r="I161" s="3">
        <f t="shared" si="5"/>
        <v>1.8700000000000001E-2</v>
      </c>
      <c r="J161" s="1" t="s">
        <v>14</v>
      </c>
      <c r="K161">
        <v>10</v>
      </c>
    </row>
    <row r="162" spans="1:11">
      <c r="A162" s="6" t="s">
        <v>584</v>
      </c>
      <c r="B162" t="s">
        <v>83</v>
      </c>
      <c r="C162" t="s">
        <v>400</v>
      </c>
      <c r="D162" s="2">
        <f t="shared" si="4"/>
        <v>230</v>
      </c>
      <c r="E162">
        <v>0.3</v>
      </c>
      <c r="F162">
        <v>8.3000000000000007</v>
      </c>
      <c r="G162" t="s">
        <v>254</v>
      </c>
      <c r="H162" t="s">
        <v>585</v>
      </c>
      <c r="I162" s="3">
        <f t="shared" si="5"/>
        <v>3.8600000000000002E-2</v>
      </c>
      <c r="J162" s="1" t="s">
        <v>14</v>
      </c>
      <c r="K162">
        <v>8</v>
      </c>
    </row>
    <row r="163" spans="1:11">
      <c r="A163" s="6" t="s">
        <v>708</v>
      </c>
      <c r="B163" t="s">
        <v>108</v>
      </c>
      <c r="C163" t="s">
        <v>142</v>
      </c>
      <c r="D163" s="2">
        <f t="shared" si="4"/>
        <v>230</v>
      </c>
      <c r="E163">
        <v>0.1</v>
      </c>
      <c r="F163">
        <v>6.8</v>
      </c>
      <c r="G163" t="s">
        <v>689</v>
      </c>
      <c r="H163" t="s">
        <v>23</v>
      </c>
      <c r="I163" s="3">
        <f t="shared" si="5"/>
        <v>3.3099999999999997E-2</v>
      </c>
      <c r="J163" s="1" t="s">
        <v>14</v>
      </c>
      <c r="K163">
        <v>8</v>
      </c>
    </row>
    <row r="164" spans="1:11">
      <c r="A164" s="6" t="s">
        <v>598</v>
      </c>
      <c r="B164" t="s">
        <v>108</v>
      </c>
      <c r="C164" t="s">
        <v>142</v>
      </c>
      <c r="D164" s="2">
        <f t="shared" si="4"/>
        <v>230</v>
      </c>
      <c r="E164">
        <v>0.9</v>
      </c>
      <c r="F164">
        <v>6.3</v>
      </c>
      <c r="G164" t="s">
        <v>245</v>
      </c>
      <c r="H164" t="s">
        <v>599</v>
      </c>
      <c r="I164" s="3">
        <f t="shared" si="5"/>
        <v>3.0700000000000002E-2</v>
      </c>
      <c r="J164" s="1" t="s">
        <v>14</v>
      </c>
      <c r="K164">
        <v>8</v>
      </c>
    </row>
    <row r="165" spans="1:11">
      <c r="A165" s="6" t="s">
        <v>299</v>
      </c>
      <c r="B165" t="s">
        <v>108</v>
      </c>
      <c r="C165" t="s">
        <v>142</v>
      </c>
      <c r="D165" s="2">
        <f t="shared" si="4"/>
        <v>230</v>
      </c>
      <c r="E165">
        <v>0.1</v>
      </c>
      <c r="F165">
        <v>3.8</v>
      </c>
      <c r="G165" t="s">
        <v>300</v>
      </c>
      <c r="H165" t="s">
        <v>301</v>
      </c>
      <c r="I165" s="3">
        <f t="shared" si="5"/>
        <v>1.8200000000000001E-2</v>
      </c>
      <c r="J165" s="1" t="s">
        <v>14</v>
      </c>
      <c r="K165">
        <v>8</v>
      </c>
    </row>
    <row r="166" spans="1:11">
      <c r="A166" s="6" t="s">
        <v>222</v>
      </c>
      <c r="B166" t="s">
        <v>108</v>
      </c>
      <c r="C166" t="s">
        <v>142</v>
      </c>
      <c r="D166" s="2">
        <f t="shared" si="4"/>
        <v>230</v>
      </c>
      <c r="E166">
        <v>0.7</v>
      </c>
      <c r="F166">
        <v>2</v>
      </c>
      <c r="G166" t="s">
        <v>223</v>
      </c>
      <c r="H166" t="s">
        <v>127</v>
      </c>
      <c r="I166" s="3">
        <f t="shared" si="5"/>
        <v>1.03E-2</v>
      </c>
      <c r="J166" s="1" t="s">
        <v>14</v>
      </c>
      <c r="K166">
        <v>10</v>
      </c>
    </row>
    <row r="167" spans="1:11">
      <c r="A167" s="6" t="s">
        <v>671</v>
      </c>
      <c r="B167" t="s">
        <v>108</v>
      </c>
      <c r="C167" t="s">
        <v>142</v>
      </c>
      <c r="D167" s="2">
        <f t="shared" si="4"/>
        <v>230</v>
      </c>
      <c r="E167">
        <v>0</v>
      </c>
      <c r="F167">
        <v>0.3</v>
      </c>
      <c r="G167" t="s">
        <v>110</v>
      </c>
      <c r="H167" t="s">
        <v>672</v>
      </c>
      <c r="I167" s="3">
        <f t="shared" si="5"/>
        <v>1.8E-3</v>
      </c>
      <c r="J167" s="1" t="s">
        <v>14</v>
      </c>
      <c r="K167">
        <v>3</v>
      </c>
    </row>
    <row r="168" spans="1:11">
      <c r="A168" s="6" t="s">
        <v>313</v>
      </c>
      <c r="B168" t="s">
        <v>108</v>
      </c>
      <c r="C168" t="s">
        <v>311</v>
      </c>
      <c r="D168" s="2">
        <f t="shared" si="4"/>
        <v>220</v>
      </c>
      <c r="E168">
        <v>1.1000000000000001</v>
      </c>
      <c r="F168">
        <v>6</v>
      </c>
      <c r="G168" t="s">
        <v>314</v>
      </c>
      <c r="H168" t="s">
        <v>17</v>
      </c>
      <c r="I168" s="3">
        <f t="shared" si="5"/>
        <v>3.1099999999999999E-2</v>
      </c>
      <c r="J168" s="1" t="s">
        <v>14</v>
      </c>
      <c r="K168">
        <v>10</v>
      </c>
    </row>
    <row r="169" spans="1:11">
      <c r="A169" s="6" t="s">
        <v>743</v>
      </c>
      <c r="B169" t="s">
        <v>83</v>
      </c>
      <c r="C169" t="s">
        <v>142</v>
      </c>
      <c r="D169" s="2">
        <f t="shared" si="4"/>
        <v>220</v>
      </c>
      <c r="E169">
        <v>0</v>
      </c>
      <c r="F169">
        <v>4.5</v>
      </c>
      <c r="G169" t="s">
        <v>110</v>
      </c>
      <c r="H169" t="s">
        <v>346</v>
      </c>
      <c r="I169" s="3">
        <f t="shared" si="5"/>
        <v>2.3599999999999999E-2</v>
      </c>
      <c r="J169" s="1" t="s">
        <v>14</v>
      </c>
      <c r="K169">
        <v>10</v>
      </c>
    </row>
    <row r="170" spans="1:11">
      <c r="A170" s="6" t="s">
        <v>374</v>
      </c>
      <c r="B170" t="s">
        <v>116</v>
      </c>
      <c r="C170" t="s">
        <v>375</v>
      </c>
      <c r="D170" s="2">
        <f t="shared" si="4"/>
        <v>220</v>
      </c>
      <c r="E170">
        <v>0.6</v>
      </c>
      <c r="F170">
        <v>2.2999999999999998</v>
      </c>
      <c r="G170" t="s">
        <v>81</v>
      </c>
      <c r="H170" t="s">
        <v>376</v>
      </c>
      <c r="I170" s="3">
        <f t="shared" si="5"/>
        <v>1.2E-2</v>
      </c>
      <c r="J170" s="1" t="s">
        <v>14</v>
      </c>
      <c r="K170">
        <v>8</v>
      </c>
    </row>
    <row r="171" spans="1:11">
      <c r="A171" s="6" t="s">
        <v>141</v>
      </c>
      <c r="B171" t="s">
        <v>83</v>
      </c>
      <c r="C171" t="s">
        <v>142</v>
      </c>
      <c r="D171" s="2">
        <f t="shared" si="4"/>
        <v>220</v>
      </c>
      <c r="E171">
        <v>0</v>
      </c>
      <c r="F171">
        <v>1.7</v>
      </c>
      <c r="G171" t="s">
        <v>110</v>
      </c>
      <c r="H171" t="s">
        <v>143</v>
      </c>
      <c r="I171" s="3">
        <f t="shared" si="5"/>
        <v>8.6999999999999994E-3</v>
      </c>
      <c r="J171" s="1" t="s">
        <v>14</v>
      </c>
      <c r="K171">
        <v>3</v>
      </c>
    </row>
    <row r="172" spans="1:11">
      <c r="A172" s="6" t="s">
        <v>500</v>
      </c>
      <c r="B172" t="s">
        <v>108</v>
      </c>
      <c r="C172" t="s">
        <v>375</v>
      </c>
      <c r="D172" s="2">
        <f t="shared" si="4"/>
        <v>210</v>
      </c>
      <c r="E172">
        <v>0.8</v>
      </c>
      <c r="F172">
        <v>6</v>
      </c>
      <c r="G172" t="s">
        <v>501</v>
      </c>
      <c r="H172" t="s">
        <v>277</v>
      </c>
      <c r="I172" s="3">
        <f t="shared" si="5"/>
        <v>3.4099999999999998E-2</v>
      </c>
      <c r="J172" s="1" t="s">
        <v>14</v>
      </c>
      <c r="K172">
        <v>10</v>
      </c>
    </row>
    <row r="173" spans="1:11">
      <c r="A173" s="6" t="s">
        <v>757</v>
      </c>
      <c r="B173" t="s">
        <v>83</v>
      </c>
      <c r="C173" t="s">
        <v>311</v>
      </c>
      <c r="D173" s="2">
        <f t="shared" si="4"/>
        <v>210</v>
      </c>
      <c r="E173">
        <v>0.1</v>
      </c>
      <c r="F173">
        <v>1.8</v>
      </c>
      <c r="G173" t="s">
        <v>279</v>
      </c>
      <c r="H173" t="s">
        <v>282</v>
      </c>
      <c r="I173" s="3">
        <f t="shared" si="5"/>
        <v>9.2999999999999992E-3</v>
      </c>
      <c r="J173" s="1" t="s">
        <v>14</v>
      </c>
      <c r="K173">
        <v>10</v>
      </c>
    </row>
    <row r="174" spans="1:11">
      <c r="A174" s="6" t="s">
        <v>310</v>
      </c>
      <c r="B174" t="s">
        <v>83</v>
      </c>
      <c r="C174" t="s">
        <v>311</v>
      </c>
      <c r="D174" s="2">
        <f t="shared" si="4"/>
        <v>210</v>
      </c>
      <c r="E174">
        <v>0</v>
      </c>
      <c r="F174">
        <v>0.3</v>
      </c>
      <c r="G174" t="s">
        <v>110</v>
      </c>
      <c r="H174" t="s">
        <v>312</v>
      </c>
      <c r="I174" s="3">
        <f t="shared" si="5"/>
        <v>1.9E-3</v>
      </c>
      <c r="J174" s="1" t="s">
        <v>14</v>
      </c>
      <c r="K174">
        <v>3</v>
      </c>
    </row>
    <row r="175" spans="1:11">
      <c r="A175" s="6" t="s">
        <v>276</v>
      </c>
      <c r="B175" t="s">
        <v>108</v>
      </c>
      <c r="C175" t="s">
        <v>84</v>
      </c>
      <c r="D175" s="2">
        <f t="shared" si="4"/>
        <v>200</v>
      </c>
      <c r="E175">
        <v>0.8</v>
      </c>
      <c r="F175">
        <v>8.5</v>
      </c>
      <c r="G175" t="s">
        <v>277</v>
      </c>
      <c r="H175" t="s">
        <v>278</v>
      </c>
      <c r="I175" s="3">
        <f t="shared" si="5"/>
        <v>5.1900000000000002E-2</v>
      </c>
      <c r="J175" s="1" t="s">
        <v>14</v>
      </c>
      <c r="K175">
        <v>8</v>
      </c>
    </row>
    <row r="176" spans="1:11">
      <c r="A176" s="6" t="s">
        <v>711</v>
      </c>
      <c r="B176" t="s">
        <v>116</v>
      </c>
      <c r="C176" t="s">
        <v>358</v>
      </c>
      <c r="D176" s="2">
        <f t="shared" si="4"/>
        <v>200</v>
      </c>
      <c r="E176">
        <v>0.5</v>
      </c>
      <c r="F176">
        <v>7</v>
      </c>
      <c r="G176" t="s">
        <v>266</v>
      </c>
      <c r="H176" t="s">
        <v>712</v>
      </c>
      <c r="I176" s="3">
        <f t="shared" si="5"/>
        <v>4.2500000000000003E-2</v>
      </c>
      <c r="J176" s="1" t="s">
        <v>14</v>
      </c>
      <c r="K176">
        <v>10</v>
      </c>
    </row>
    <row r="177" spans="1:11">
      <c r="A177" s="6" t="s">
        <v>474</v>
      </c>
      <c r="B177" t="s">
        <v>108</v>
      </c>
      <c r="C177" t="s">
        <v>84</v>
      </c>
      <c r="D177" s="2">
        <f t="shared" si="4"/>
        <v>200</v>
      </c>
      <c r="E177">
        <v>0.3</v>
      </c>
      <c r="F177">
        <v>7</v>
      </c>
      <c r="G177" t="s">
        <v>475</v>
      </c>
      <c r="H177" t="s">
        <v>112</v>
      </c>
      <c r="I177" s="3">
        <f t="shared" si="5"/>
        <v>0.04</v>
      </c>
      <c r="J177" s="1" t="s">
        <v>14</v>
      </c>
      <c r="K177">
        <v>10</v>
      </c>
    </row>
    <row r="178" spans="1:11">
      <c r="A178" s="6" t="s">
        <v>586</v>
      </c>
      <c r="B178" t="s">
        <v>108</v>
      </c>
      <c r="C178" t="s">
        <v>84</v>
      </c>
      <c r="D178" s="2">
        <f t="shared" si="4"/>
        <v>200</v>
      </c>
      <c r="E178">
        <v>0</v>
      </c>
      <c r="F178">
        <v>1.7</v>
      </c>
      <c r="G178" t="s">
        <v>110</v>
      </c>
      <c r="H178" t="s">
        <v>587</v>
      </c>
      <c r="I178" s="3">
        <f t="shared" si="5"/>
        <v>9.9000000000000008E-3</v>
      </c>
      <c r="J178" s="1" t="s">
        <v>14</v>
      </c>
      <c r="K178">
        <v>3</v>
      </c>
    </row>
    <row r="179" spans="1:11">
      <c r="A179" s="6" t="s">
        <v>357</v>
      </c>
      <c r="B179" t="s">
        <v>108</v>
      </c>
      <c r="C179" t="s">
        <v>358</v>
      </c>
      <c r="D179" s="2">
        <f t="shared" si="4"/>
        <v>190</v>
      </c>
      <c r="E179">
        <v>0.7</v>
      </c>
      <c r="F179">
        <v>8.6999999999999993</v>
      </c>
      <c r="G179" t="s">
        <v>359</v>
      </c>
      <c r="H179" t="s">
        <v>360</v>
      </c>
      <c r="I179" s="3">
        <f t="shared" si="5"/>
        <v>5.0500000000000003E-2</v>
      </c>
      <c r="J179" s="1" t="s">
        <v>14</v>
      </c>
      <c r="K179">
        <v>7</v>
      </c>
    </row>
    <row r="180" spans="1:11">
      <c r="A180" s="6" t="s">
        <v>636</v>
      </c>
      <c r="B180" t="s">
        <v>83</v>
      </c>
      <c r="C180" t="s">
        <v>84</v>
      </c>
      <c r="D180" s="2">
        <f t="shared" si="4"/>
        <v>190</v>
      </c>
      <c r="E180">
        <v>0</v>
      </c>
      <c r="F180">
        <v>7.8</v>
      </c>
      <c r="G180" t="s">
        <v>110</v>
      </c>
      <c r="H180" t="s">
        <v>637</v>
      </c>
      <c r="I180" s="3">
        <f t="shared" si="5"/>
        <v>4.5100000000000001E-2</v>
      </c>
      <c r="J180" s="1" t="s">
        <v>14</v>
      </c>
      <c r="K180">
        <v>8</v>
      </c>
    </row>
    <row r="181" spans="1:11">
      <c r="A181" s="6" t="s">
        <v>588</v>
      </c>
      <c r="B181" t="s">
        <v>83</v>
      </c>
      <c r="C181" t="s">
        <v>84</v>
      </c>
      <c r="D181" s="2">
        <f t="shared" si="4"/>
        <v>190</v>
      </c>
      <c r="E181">
        <v>0.2</v>
      </c>
      <c r="F181">
        <v>5.8</v>
      </c>
      <c r="G181" t="s">
        <v>526</v>
      </c>
      <c r="H181" t="s">
        <v>277</v>
      </c>
      <c r="I181" s="3">
        <f t="shared" si="5"/>
        <v>3.4099999999999998E-2</v>
      </c>
      <c r="J181" s="1" t="s">
        <v>14</v>
      </c>
      <c r="K181">
        <v>10</v>
      </c>
    </row>
    <row r="182" spans="1:11">
      <c r="A182" s="6" t="s">
        <v>677</v>
      </c>
      <c r="B182" t="s">
        <v>108</v>
      </c>
      <c r="C182" t="s">
        <v>358</v>
      </c>
      <c r="D182" s="2">
        <f t="shared" si="4"/>
        <v>190</v>
      </c>
      <c r="E182">
        <v>0.3</v>
      </c>
      <c r="F182">
        <v>5.8</v>
      </c>
      <c r="G182" t="s">
        <v>465</v>
      </c>
      <c r="H182" t="s">
        <v>401</v>
      </c>
      <c r="I182" s="3">
        <f t="shared" si="5"/>
        <v>3.3500000000000002E-2</v>
      </c>
      <c r="J182" s="1" t="s">
        <v>14</v>
      </c>
      <c r="K182">
        <v>7</v>
      </c>
    </row>
    <row r="183" spans="1:11">
      <c r="A183" s="6" t="s">
        <v>82</v>
      </c>
      <c r="B183" t="s">
        <v>83</v>
      </c>
      <c r="C183" t="s">
        <v>84</v>
      </c>
      <c r="D183" s="2">
        <f t="shared" si="4"/>
        <v>190</v>
      </c>
      <c r="E183">
        <v>1</v>
      </c>
      <c r="F183">
        <v>5.5</v>
      </c>
      <c r="G183" t="s">
        <v>85</v>
      </c>
      <c r="H183" t="s">
        <v>86</v>
      </c>
      <c r="I183" s="3">
        <f t="shared" si="5"/>
        <v>3.1800000000000002E-2</v>
      </c>
      <c r="J183" s="1" t="s">
        <v>14</v>
      </c>
      <c r="K183">
        <v>7</v>
      </c>
    </row>
    <row r="184" spans="1:11">
      <c r="A184" s="6" t="s">
        <v>537</v>
      </c>
      <c r="B184" t="s">
        <v>83</v>
      </c>
      <c r="C184" t="s">
        <v>358</v>
      </c>
      <c r="D184" s="2">
        <f t="shared" si="4"/>
        <v>180</v>
      </c>
      <c r="E184">
        <v>1.6</v>
      </c>
      <c r="F184">
        <v>6.8</v>
      </c>
      <c r="G184" t="s">
        <v>538</v>
      </c>
      <c r="H184" t="s">
        <v>539</v>
      </c>
      <c r="I184" s="3">
        <f t="shared" si="5"/>
        <v>4.2000000000000003E-2</v>
      </c>
      <c r="J184" s="1" t="s">
        <v>14</v>
      </c>
      <c r="K184">
        <v>8</v>
      </c>
    </row>
    <row r="185" spans="1:11">
      <c r="A185" s="6" t="s">
        <v>372</v>
      </c>
      <c r="B185" t="s">
        <v>83</v>
      </c>
      <c r="C185" t="s">
        <v>358</v>
      </c>
      <c r="D185" s="2">
        <f t="shared" si="4"/>
        <v>180</v>
      </c>
      <c r="E185">
        <v>0.8</v>
      </c>
      <c r="F185">
        <v>6.8</v>
      </c>
      <c r="G185" t="s">
        <v>249</v>
      </c>
      <c r="H185" t="s">
        <v>373</v>
      </c>
      <c r="I185" s="3">
        <f t="shared" si="5"/>
        <v>3.9100000000000003E-2</v>
      </c>
      <c r="J185" s="1" t="s">
        <v>14</v>
      </c>
      <c r="K185">
        <v>8</v>
      </c>
    </row>
    <row r="186" spans="1:11">
      <c r="A186" s="6" t="s">
        <v>736</v>
      </c>
      <c r="B186" t="s">
        <v>108</v>
      </c>
      <c r="C186" t="s">
        <v>152</v>
      </c>
      <c r="D186" s="2">
        <f t="shared" si="4"/>
        <v>180</v>
      </c>
      <c r="E186">
        <v>0.5</v>
      </c>
      <c r="F186">
        <v>3.8</v>
      </c>
      <c r="G186" t="s">
        <v>702</v>
      </c>
      <c r="H186" t="s">
        <v>338</v>
      </c>
      <c r="I186" s="3">
        <f t="shared" si="5"/>
        <v>2.3900000000000001E-2</v>
      </c>
      <c r="J186" s="1" t="s">
        <v>14</v>
      </c>
      <c r="K186">
        <v>8</v>
      </c>
    </row>
    <row r="187" spans="1:11">
      <c r="A187" s="6" t="s">
        <v>509</v>
      </c>
      <c r="B187" t="s">
        <v>83</v>
      </c>
      <c r="C187" t="s">
        <v>358</v>
      </c>
      <c r="D187" s="2">
        <f t="shared" si="4"/>
        <v>180</v>
      </c>
      <c r="E187">
        <v>0</v>
      </c>
      <c r="F187">
        <v>0.3</v>
      </c>
      <c r="G187" t="s">
        <v>110</v>
      </c>
      <c r="H187" t="s">
        <v>510</v>
      </c>
      <c r="I187" s="3">
        <f t="shared" si="5"/>
        <v>2E-3</v>
      </c>
      <c r="J187" s="1" t="s">
        <v>14</v>
      </c>
      <c r="K187">
        <v>3</v>
      </c>
    </row>
    <row r="188" spans="1:11">
      <c r="A188" s="6" t="s">
        <v>151</v>
      </c>
      <c r="B188" t="s">
        <v>83</v>
      </c>
      <c r="C188" t="s">
        <v>152</v>
      </c>
      <c r="D188" s="2">
        <f t="shared" si="4"/>
        <v>170</v>
      </c>
      <c r="E188">
        <v>0.1</v>
      </c>
      <c r="F188">
        <v>6</v>
      </c>
      <c r="G188" t="s">
        <v>128</v>
      </c>
      <c r="H188" t="s">
        <v>153</v>
      </c>
      <c r="I188" s="3">
        <f t="shared" si="5"/>
        <v>3.73E-2</v>
      </c>
      <c r="J188" s="1" t="s">
        <v>14</v>
      </c>
      <c r="K188">
        <v>8</v>
      </c>
    </row>
    <row r="189" spans="1:11">
      <c r="A189" s="6" t="s">
        <v>727</v>
      </c>
      <c r="B189" t="s">
        <v>83</v>
      </c>
      <c r="C189" t="s">
        <v>152</v>
      </c>
      <c r="D189" s="2">
        <f t="shared" si="4"/>
        <v>170</v>
      </c>
      <c r="E189">
        <v>0.1</v>
      </c>
      <c r="F189">
        <v>4.3</v>
      </c>
      <c r="G189" t="s">
        <v>252</v>
      </c>
      <c r="H189" t="s">
        <v>173</v>
      </c>
      <c r="I189" s="3">
        <f t="shared" si="5"/>
        <v>2.7300000000000001E-2</v>
      </c>
      <c r="J189" s="1" t="s">
        <v>14</v>
      </c>
      <c r="K189">
        <v>8</v>
      </c>
    </row>
    <row r="190" spans="1:11">
      <c r="A190" s="6" t="s">
        <v>476</v>
      </c>
      <c r="B190" t="s">
        <v>83</v>
      </c>
      <c r="C190" t="s">
        <v>225</v>
      </c>
      <c r="D190" s="2">
        <f t="shared" si="4"/>
        <v>160</v>
      </c>
      <c r="E190">
        <v>0.6</v>
      </c>
      <c r="F190">
        <v>5</v>
      </c>
      <c r="G190" t="s">
        <v>477</v>
      </c>
      <c r="H190" t="s">
        <v>478</v>
      </c>
      <c r="I190" s="3">
        <f t="shared" si="5"/>
        <v>3.4299999999999997E-2</v>
      </c>
      <c r="J190" s="1" t="s">
        <v>14</v>
      </c>
      <c r="K190">
        <v>8</v>
      </c>
    </row>
    <row r="191" spans="1:11">
      <c r="A191" s="6" t="s">
        <v>654</v>
      </c>
      <c r="B191" t="s">
        <v>108</v>
      </c>
      <c r="C191" t="s">
        <v>283</v>
      </c>
      <c r="D191" s="2">
        <f t="shared" si="4"/>
        <v>160</v>
      </c>
      <c r="E191">
        <v>0.2</v>
      </c>
      <c r="F191">
        <v>1.8</v>
      </c>
      <c r="G191" t="s">
        <v>655</v>
      </c>
      <c r="H191" t="s">
        <v>553</v>
      </c>
      <c r="I191" s="3">
        <f t="shared" si="5"/>
        <v>1.3599999999999999E-2</v>
      </c>
      <c r="J191" s="1" t="s">
        <v>14</v>
      </c>
      <c r="K191">
        <v>10</v>
      </c>
    </row>
    <row r="192" spans="1:11">
      <c r="A192" s="6" t="s">
        <v>224</v>
      </c>
      <c r="B192" t="s">
        <v>83</v>
      </c>
      <c r="C192" t="s">
        <v>225</v>
      </c>
      <c r="D192" s="2">
        <f t="shared" si="4"/>
        <v>160</v>
      </c>
      <c r="E192">
        <v>0</v>
      </c>
      <c r="F192">
        <v>0.6</v>
      </c>
      <c r="G192" t="s">
        <v>110</v>
      </c>
      <c r="H192" t="s">
        <v>226</v>
      </c>
      <c r="I192" s="3">
        <f t="shared" si="5"/>
        <v>4.3E-3</v>
      </c>
      <c r="J192" s="1" t="s">
        <v>123</v>
      </c>
      <c r="K192">
        <v>5</v>
      </c>
    </row>
    <row r="193" spans="1:11">
      <c r="A193" s="6" t="s">
        <v>613</v>
      </c>
      <c r="B193" t="s">
        <v>108</v>
      </c>
      <c r="C193" t="s">
        <v>217</v>
      </c>
      <c r="D193" s="2">
        <f t="shared" si="4"/>
        <v>150</v>
      </c>
      <c r="E193">
        <v>0.2</v>
      </c>
      <c r="F193">
        <v>6.5</v>
      </c>
      <c r="G193" t="s">
        <v>240</v>
      </c>
      <c r="H193" t="s">
        <v>614</v>
      </c>
      <c r="I193" s="3">
        <f t="shared" si="5"/>
        <v>5.33E-2</v>
      </c>
      <c r="J193" s="1" t="s">
        <v>14</v>
      </c>
      <c r="K193">
        <v>10</v>
      </c>
    </row>
    <row r="194" spans="1:11">
      <c r="A194" s="6" t="s">
        <v>690</v>
      </c>
      <c r="B194" t="s">
        <v>83</v>
      </c>
      <c r="C194" t="s">
        <v>283</v>
      </c>
      <c r="D194" s="2">
        <f t="shared" ref="D194:D257" si="6">B194+C194</f>
        <v>150</v>
      </c>
      <c r="E194">
        <v>0.4</v>
      </c>
      <c r="F194">
        <v>5.8</v>
      </c>
      <c r="G194" t="s">
        <v>407</v>
      </c>
      <c r="H194" t="s">
        <v>691</v>
      </c>
      <c r="I194" s="3">
        <f t="shared" ref="I194:I257" si="7">H194+0</f>
        <v>4.4600000000000001E-2</v>
      </c>
      <c r="J194" s="1" t="s">
        <v>14</v>
      </c>
      <c r="K194">
        <v>8</v>
      </c>
    </row>
    <row r="195" spans="1:11">
      <c r="A195" s="6" t="s">
        <v>453</v>
      </c>
      <c r="B195" t="s">
        <v>108</v>
      </c>
      <c r="C195" t="s">
        <v>217</v>
      </c>
      <c r="D195" s="2">
        <f t="shared" si="6"/>
        <v>150</v>
      </c>
      <c r="E195">
        <v>0.4</v>
      </c>
      <c r="F195">
        <v>3</v>
      </c>
      <c r="G195" t="s">
        <v>351</v>
      </c>
      <c r="H195" t="s">
        <v>454</v>
      </c>
      <c r="I195" s="3">
        <f t="shared" si="7"/>
        <v>2.4199999999999999E-2</v>
      </c>
      <c r="J195" s="1" t="s">
        <v>14</v>
      </c>
      <c r="K195">
        <v>7</v>
      </c>
    </row>
    <row r="196" spans="1:11">
      <c r="A196" s="6" t="s">
        <v>479</v>
      </c>
      <c r="B196" t="s">
        <v>108</v>
      </c>
      <c r="C196" t="s">
        <v>217</v>
      </c>
      <c r="D196" s="2">
        <f t="shared" si="6"/>
        <v>150</v>
      </c>
      <c r="E196">
        <v>0.6</v>
      </c>
      <c r="F196">
        <v>2.2999999999999998</v>
      </c>
      <c r="G196" t="s">
        <v>247</v>
      </c>
      <c r="H196" t="s">
        <v>480</v>
      </c>
      <c r="I196" s="3">
        <f t="shared" si="7"/>
        <v>1.7600000000000001E-2</v>
      </c>
      <c r="J196" s="1" t="s">
        <v>14</v>
      </c>
      <c r="K196">
        <v>10</v>
      </c>
    </row>
    <row r="197" spans="1:11">
      <c r="A197" s="6" t="s">
        <v>658</v>
      </c>
      <c r="B197" t="s">
        <v>83</v>
      </c>
      <c r="C197" t="s">
        <v>283</v>
      </c>
      <c r="D197" s="2">
        <f t="shared" si="6"/>
        <v>150</v>
      </c>
      <c r="E197">
        <v>0.3</v>
      </c>
      <c r="F197">
        <v>0.3</v>
      </c>
      <c r="G197" t="s">
        <v>247</v>
      </c>
      <c r="H197" t="s">
        <v>659</v>
      </c>
      <c r="I197" s="3">
        <f t="shared" si="7"/>
        <v>2.5000000000000001E-3</v>
      </c>
      <c r="J197" s="1" t="s">
        <v>14</v>
      </c>
      <c r="K197">
        <v>3</v>
      </c>
    </row>
    <row r="198" spans="1:11">
      <c r="A198" s="6" t="s">
        <v>664</v>
      </c>
      <c r="B198" t="s">
        <v>83</v>
      </c>
      <c r="C198" t="s">
        <v>217</v>
      </c>
      <c r="D198" s="2">
        <f t="shared" si="6"/>
        <v>140</v>
      </c>
      <c r="E198">
        <v>1.5</v>
      </c>
      <c r="F198">
        <v>7</v>
      </c>
      <c r="G198" t="s">
        <v>665</v>
      </c>
      <c r="H198" t="s">
        <v>666</v>
      </c>
      <c r="I198" s="3">
        <f t="shared" si="7"/>
        <v>5.3499999999999999E-2</v>
      </c>
      <c r="J198" s="1" t="s">
        <v>14</v>
      </c>
      <c r="K198">
        <v>8</v>
      </c>
    </row>
    <row r="199" spans="1:11">
      <c r="A199" s="6" t="s">
        <v>517</v>
      </c>
      <c r="B199" t="s">
        <v>108</v>
      </c>
      <c r="C199" t="s">
        <v>121</v>
      </c>
      <c r="D199" s="2">
        <f t="shared" si="6"/>
        <v>140</v>
      </c>
      <c r="E199">
        <v>0.8</v>
      </c>
      <c r="F199">
        <v>5</v>
      </c>
      <c r="G199" t="s">
        <v>119</v>
      </c>
      <c r="H199" t="s">
        <v>185</v>
      </c>
      <c r="I199" s="3">
        <f t="shared" si="7"/>
        <v>4.5499999999999999E-2</v>
      </c>
      <c r="J199" s="1" t="s">
        <v>14</v>
      </c>
      <c r="K199">
        <v>8</v>
      </c>
    </row>
    <row r="200" spans="1:11">
      <c r="A200" s="6" t="s">
        <v>466</v>
      </c>
      <c r="B200" t="s">
        <v>108</v>
      </c>
      <c r="C200" t="s">
        <v>121</v>
      </c>
      <c r="D200" s="2">
        <f t="shared" si="6"/>
        <v>140</v>
      </c>
      <c r="E200">
        <v>0.8</v>
      </c>
      <c r="F200">
        <v>4.5</v>
      </c>
      <c r="G200" t="s">
        <v>467</v>
      </c>
      <c r="H200" t="s">
        <v>168</v>
      </c>
      <c r="I200" s="3">
        <f t="shared" si="7"/>
        <v>3.5799999999999998E-2</v>
      </c>
      <c r="J200" s="1" t="s">
        <v>14</v>
      </c>
      <c r="K200">
        <v>10</v>
      </c>
    </row>
    <row r="201" spans="1:11">
      <c r="A201" s="6" t="s">
        <v>350</v>
      </c>
      <c r="B201" t="s">
        <v>108</v>
      </c>
      <c r="C201" t="s">
        <v>121</v>
      </c>
      <c r="D201" s="2">
        <f t="shared" si="6"/>
        <v>140</v>
      </c>
      <c r="E201">
        <v>0.4</v>
      </c>
      <c r="F201">
        <v>4</v>
      </c>
      <c r="G201" t="s">
        <v>351</v>
      </c>
      <c r="H201" t="s">
        <v>352</v>
      </c>
      <c r="I201" s="3">
        <f t="shared" si="7"/>
        <v>3.4799999999999998E-2</v>
      </c>
      <c r="J201" s="1" t="s">
        <v>14</v>
      </c>
      <c r="K201">
        <v>7</v>
      </c>
    </row>
    <row r="202" spans="1:11">
      <c r="A202" s="6" t="s">
        <v>737</v>
      </c>
      <c r="B202" t="s">
        <v>83</v>
      </c>
      <c r="C202" t="s">
        <v>217</v>
      </c>
      <c r="D202" s="2">
        <f t="shared" si="6"/>
        <v>140</v>
      </c>
      <c r="E202">
        <v>0.8</v>
      </c>
      <c r="F202">
        <v>3.3</v>
      </c>
      <c r="G202" t="s">
        <v>488</v>
      </c>
      <c r="H202" t="s">
        <v>52</v>
      </c>
      <c r="I202" s="3">
        <f t="shared" si="7"/>
        <v>2.69E-2</v>
      </c>
      <c r="J202" s="1" t="s">
        <v>14</v>
      </c>
      <c r="K202">
        <v>8</v>
      </c>
    </row>
    <row r="203" spans="1:11">
      <c r="A203" s="6" t="s">
        <v>251</v>
      </c>
      <c r="B203" t="s">
        <v>108</v>
      </c>
      <c r="C203" t="s">
        <v>121</v>
      </c>
      <c r="D203" s="2">
        <f t="shared" si="6"/>
        <v>140</v>
      </c>
      <c r="E203">
        <v>0</v>
      </c>
      <c r="F203">
        <v>1.3</v>
      </c>
      <c r="G203" t="s">
        <v>110</v>
      </c>
      <c r="H203" t="s">
        <v>252</v>
      </c>
      <c r="I203" s="3">
        <f t="shared" si="7"/>
        <v>1.14E-2</v>
      </c>
      <c r="J203" s="1" t="s">
        <v>14</v>
      </c>
      <c r="K203">
        <v>3</v>
      </c>
    </row>
    <row r="204" spans="1:11">
      <c r="A204" s="6" t="s">
        <v>694</v>
      </c>
      <c r="B204" t="s">
        <v>83</v>
      </c>
      <c r="C204" t="s">
        <v>217</v>
      </c>
      <c r="D204" s="2">
        <f t="shared" si="6"/>
        <v>140</v>
      </c>
      <c r="E204">
        <v>0</v>
      </c>
      <c r="F204">
        <v>0.3</v>
      </c>
      <c r="G204" t="s">
        <v>110</v>
      </c>
      <c r="H204" t="s">
        <v>659</v>
      </c>
      <c r="I204" s="3">
        <f t="shared" si="7"/>
        <v>2.5000000000000001E-3</v>
      </c>
      <c r="J204" s="1" t="s">
        <v>123</v>
      </c>
      <c r="K204">
        <v>4</v>
      </c>
    </row>
    <row r="205" spans="1:11">
      <c r="A205" s="6" t="s">
        <v>317</v>
      </c>
      <c r="B205" t="s">
        <v>83</v>
      </c>
      <c r="C205" t="s">
        <v>121</v>
      </c>
      <c r="D205" s="2">
        <f t="shared" si="6"/>
        <v>130</v>
      </c>
      <c r="E205">
        <v>0.3</v>
      </c>
      <c r="F205">
        <v>8.5</v>
      </c>
      <c r="G205" t="s">
        <v>243</v>
      </c>
      <c r="H205" t="s">
        <v>318</v>
      </c>
      <c r="I205" s="3">
        <f t="shared" si="7"/>
        <v>6.9199999999999998E-2</v>
      </c>
      <c r="J205" s="1" t="s">
        <v>14</v>
      </c>
      <c r="K205">
        <v>8</v>
      </c>
    </row>
    <row r="206" spans="1:11">
      <c r="A206" s="6" t="s">
        <v>395</v>
      </c>
      <c r="B206" t="s">
        <v>83</v>
      </c>
      <c r="C206" t="s">
        <v>121</v>
      </c>
      <c r="D206" s="2">
        <f t="shared" si="6"/>
        <v>130</v>
      </c>
      <c r="E206">
        <v>0.5</v>
      </c>
      <c r="F206">
        <v>6</v>
      </c>
      <c r="G206" t="s">
        <v>297</v>
      </c>
      <c r="H206" t="s">
        <v>396</v>
      </c>
      <c r="I206" s="3">
        <f t="shared" si="7"/>
        <v>5.1799999999999999E-2</v>
      </c>
      <c r="J206" s="1" t="s">
        <v>14</v>
      </c>
      <c r="K206">
        <v>8</v>
      </c>
    </row>
    <row r="207" spans="1:11">
      <c r="A207" s="6" t="s">
        <v>257</v>
      </c>
      <c r="B207" t="s">
        <v>83</v>
      </c>
      <c r="C207" t="s">
        <v>121</v>
      </c>
      <c r="D207" s="2">
        <f t="shared" si="6"/>
        <v>130</v>
      </c>
      <c r="E207">
        <v>0.1</v>
      </c>
      <c r="F207">
        <v>3.8</v>
      </c>
      <c r="G207" t="s">
        <v>128</v>
      </c>
      <c r="H207" t="s">
        <v>258</v>
      </c>
      <c r="I207" s="3">
        <f t="shared" si="7"/>
        <v>3.3799999999999997E-2</v>
      </c>
      <c r="J207" s="1" t="s">
        <v>14</v>
      </c>
      <c r="K207">
        <v>8</v>
      </c>
    </row>
    <row r="208" spans="1:11">
      <c r="A208" s="6" t="s">
        <v>611</v>
      </c>
      <c r="B208" t="s">
        <v>83</v>
      </c>
      <c r="C208" t="s">
        <v>121</v>
      </c>
      <c r="D208" s="2">
        <f t="shared" si="6"/>
        <v>130</v>
      </c>
      <c r="E208">
        <v>0.6</v>
      </c>
      <c r="F208">
        <v>2.8</v>
      </c>
      <c r="G208" t="s">
        <v>404</v>
      </c>
      <c r="H208" t="s">
        <v>612</v>
      </c>
      <c r="I208" s="3">
        <f t="shared" si="7"/>
        <v>2.41E-2</v>
      </c>
      <c r="J208" s="1" t="s">
        <v>14</v>
      </c>
      <c r="K208">
        <v>7</v>
      </c>
    </row>
    <row r="209" spans="1:11">
      <c r="A209" s="6" t="s">
        <v>214</v>
      </c>
      <c r="B209" t="s">
        <v>83</v>
      </c>
      <c r="C209" t="s">
        <v>121</v>
      </c>
      <c r="D209" s="2">
        <f t="shared" si="6"/>
        <v>130</v>
      </c>
      <c r="E209">
        <v>0</v>
      </c>
      <c r="F209">
        <v>2.8</v>
      </c>
      <c r="G209" t="s">
        <v>110</v>
      </c>
      <c r="H209" t="s">
        <v>215</v>
      </c>
      <c r="I209" s="3">
        <f t="shared" si="7"/>
        <v>2.3800000000000002E-2</v>
      </c>
      <c r="J209" s="1" t="s">
        <v>14</v>
      </c>
      <c r="K209">
        <v>10</v>
      </c>
    </row>
    <row r="210" spans="1:11">
      <c r="A210" s="6" t="s">
        <v>596</v>
      </c>
      <c r="B210" t="s">
        <v>83</v>
      </c>
      <c r="C210" t="s">
        <v>121</v>
      </c>
      <c r="D210" s="2">
        <f t="shared" si="6"/>
        <v>130</v>
      </c>
      <c r="E210">
        <v>0</v>
      </c>
      <c r="F210">
        <v>1.3</v>
      </c>
      <c r="G210" t="s">
        <v>110</v>
      </c>
      <c r="H210" t="s">
        <v>597</v>
      </c>
      <c r="I210" s="3">
        <f t="shared" si="7"/>
        <v>1.04E-2</v>
      </c>
      <c r="J210" s="1" t="s">
        <v>14</v>
      </c>
      <c r="K210">
        <v>10</v>
      </c>
    </row>
    <row r="211" spans="1:11">
      <c r="A211" s="6" t="s">
        <v>560</v>
      </c>
      <c r="B211" t="s">
        <v>108</v>
      </c>
      <c r="C211" t="s">
        <v>148</v>
      </c>
      <c r="D211" s="2">
        <f t="shared" si="6"/>
        <v>130</v>
      </c>
      <c r="E211">
        <v>0.4</v>
      </c>
      <c r="F211">
        <v>0.8</v>
      </c>
      <c r="G211" t="s">
        <v>371</v>
      </c>
      <c r="H211" t="s">
        <v>240</v>
      </c>
      <c r="I211" s="3">
        <f t="shared" si="7"/>
        <v>7.4999999999999997E-3</v>
      </c>
      <c r="J211" s="1" t="s">
        <v>14</v>
      </c>
      <c r="K211">
        <v>8</v>
      </c>
    </row>
    <row r="212" spans="1:11">
      <c r="A212" s="6" t="s">
        <v>255</v>
      </c>
      <c r="B212" t="s">
        <v>83</v>
      </c>
      <c r="C212" t="s">
        <v>121</v>
      </c>
      <c r="D212" s="2">
        <f t="shared" si="6"/>
        <v>130</v>
      </c>
      <c r="E212">
        <v>0</v>
      </c>
      <c r="F212">
        <v>0.3</v>
      </c>
      <c r="G212" t="s">
        <v>110</v>
      </c>
      <c r="H212" t="s">
        <v>256</v>
      </c>
      <c r="I212" s="3">
        <f t="shared" si="7"/>
        <v>2.8E-3</v>
      </c>
      <c r="J212" s="1" t="s">
        <v>14</v>
      </c>
      <c r="K212">
        <v>3</v>
      </c>
    </row>
    <row r="213" spans="1:11">
      <c r="A213" s="6" t="s">
        <v>437</v>
      </c>
      <c r="B213" t="s">
        <v>83</v>
      </c>
      <c r="C213" t="s">
        <v>121</v>
      </c>
      <c r="D213" s="2">
        <f t="shared" si="6"/>
        <v>130</v>
      </c>
      <c r="E213">
        <v>0</v>
      </c>
      <c r="F213">
        <v>0.3</v>
      </c>
      <c r="G213" t="s">
        <v>110</v>
      </c>
      <c r="H213" t="s">
        <v>256</v>
      </c>
      <c r="I213" s="3">
        <f t="shared" si="7"/>
        <v>2.8E-3</v>
      </c>
      <c r="J213" s="1" t="s">
        <v>123</v>
      </c>
      <c r="K213">
        <v>4</v>
      </c>
    </row>
    <row r="214" spans="1:11">
      <c r="A214" s="6" t="s">
        <v>730</v>
      </c>
      <c r="B214" t="s">
        <v>83</v>
      </c>
      <c r="C214" t="s">
        <v>148</v>
      </c>
      <c r="D214" s="2">
        <f t="shared" si="6"/>
        <v>120</v>
      </c>
      <c r="E214">
        <v>0.6</v>
      </c>
      <c r="F214">
        <v>4.8</v>
      </c>
      <c r="G214" t="s">
        <v>198</v>
      </c>
      <c r="H214" t="s">
        <v>583</v>
      </c>
      <c r="I214" s="3">
        <f t="shared" si="7"/>
        <v>4.7500000000000001E-2</v>
      </c>
      <c r="J214" s="1" t="s">
        <v>14</v>
      </c>
      <c r="K214">
        <v>8</v>
      </c>
    </row>
    <row r="215" spans="1:11">
      <c r="A215" s="6" t="s">
        <v>267</v>
      </c>
      <c r="B215" t="s">
        <v>83</v>
      </c>
      <c r="C215" t="s">
        <v>148</v>
      </c>
      <c r="D215" s="2">
        <f t="shared" si="6"/>
        <v>120</v>
      </c>
      <c r="E215">
        <v>0.4</v>
      </c>
      <c r="F215">
        <v>2.4</v>
      </c>
      <c r="G215" t="s">
        <v>85</v>
      </c>
      <c r="H215" t="s">
        <v>77</v>
      </c>
      <c r="I215" s="3">
        <f t="shared" si="7"/>
        <v>2.6200000000000001E-2</v>
      </c>
      <c r="J215" s="1" t="s">
        <v>14</v>
      </c>
      <c r="K215">
        <v>7</v>
      </c>
    </row>
    <row r="216" spans="1:11">
      <c r="A216" s="6" t="s">
        <v>199</v>
      </c>
      <c r="B216" t="s">
        <v>83</v>
      </c>
      <c r="C216" t="s">
        <v>148</v>
      </c>
      <c r="D216" s="2">
        <f t="shared" si="6"/>
        <v>120</v>
      </c>
      <c r="E216">
        <v>0.4</v>
      </c>
      <c r="F216">
        <v>1.8</v>
      </c>
      <c r="G216" t="s">
        <v>200</v>
      </c>
      <c r="H216" t="s">
        <v>201</v>
      </c>
      <c r="I216" s="3">
        <f t="shared" si="7"/>
        <v>1.8100000000000002E-2</v>
      </c>
      <c r="J216" s="1" t="s">
        <v>14</v>
      </c>
      <c r="K216">
        <v>8</v>
      </c>
    </row>
    <row r="217" spans="1:11">
      <c r="A217" s="6" t="s">
        <v>706</v>
      </c>
      <c r="B217" t="s">
        <v>83</v>
      </c>
      <c r="C217" t="s">
        <v>148</v>
      </c>
      <c r="D217" s="2">
        <f t="shared" si="6"/>
        <v>120</v>
      </c>
      <c r="E217">
        <v>0.1</v>
      </c>
      <c r="F217">
        <v>1.8</v>
      </c>
      <c r="G217" t="s">
        <v>248</v>
      </c>
      <c r="H217" t="s">
        <v>707</v>
      </c>
      <c r="I217" s="3">
        <f t="shared" si="7"/>
        <v>1.61E-2</v>
      </c>
      <c r="J217" s="1" t="s">
        <v>14</v>
      </c>
      <c r="K217">
        <v>8</v>
      </c>
    </row>
    <row r="218" spans="1:11">
      <c r="A218" s="6" t="s">
        <v>332</v>
      </c>
      <c r="B218" t="s">
        <v>83</v>
      </c>
      <c r="C218" t="s">
        <v>148</v>
      </c>
      <c r="D218" s="2">
        <f t="shared" si="6"/>
        <v>120</v>
      </c>
      <c r="E218">
        <v>0.3</v>
      </c>
      <c r="F218">
        <v>1.3</v>
      </c>
      <c r="G218" t="s">
        <v>114</v>
      </c>
      <c r="H218" t="s">
        <v>248</v>
      </c>
      <c r="I218" s="3">
        <f t="shared" si="7"/>
        <v>1.2500000000000001E-2</v>
      </c>
      <c r="J218" s="1" t="s">
        <v>14</v>
      </c>
      <c r="K218">
        <v>3</v>
      </c>
    </row>
    <row r="219" spans="1:11">
      <c r="A219" s="6" t="s">
        <v>606</v>
      </c>
      <c r="B219" t="s">
        <v>83</v>
      </c>
      <c r="C219" t="s">
        <v>148</v>
      </c>
      <c r="D219" s="2">
        <f t="shared" si="6"/>
        <v>120</v>
      </c>
      <c r="E219">
        <v>0.7</v>
      </c>
      <c r="F219">
        <v>0.8</v>
      </c>
      <c r="G219" t="s">
        <v>336</v>
      </c>
      <c r="H219" t="s">
        <v>159</v>
      </c>
      <c r="I219" s="3">
        <f t="shared" si="7"/>
        <v>7.9000000000000008E-3</v>
      </c>
      <c r="J219" s="1" t="s">
        <v>14</v>
      </c>
      <c r="K219">
        <v>10</v>
      </c>
    </row>
    <row r="220" spans="1:11">
      <c r="A220" s="6" t="s">
        <v>675</v>
      </c>
      <c r="B220" t="s">
        <v>83</v>
      </c>
      <c r="C220" t="s">
        <v>148</v>
      </c>
      <c r="D220" s="2">
        <f t="shared" si="6"/>
        <v>120</v>
      </c>
      <c r="E220">
        <v>0.7</v>
      </c>
      <c r="F220">
        <v>0.5</v>
      </c>
      <c r="G220" t="s">
        <v>297</v>
      </c>
      <c r="H220" t="s">
        <v>676</v>
      </c>
      <c r="I220" s="3">
        <f t="shared" si="7"/>
        <v>4.7999999999999996E-3</v>
      </c>
      <c r="J220" s="1" t="s">
        <v>14</v>
      </c>
      <c r="K220">
        <v>3</v>
      </c>
    </row>
    <row r="221" spans="1:11">
      <c r="A221" s="6" t="s">
        <v>625</v>
      </c>
      <c r="B221" t="s">
        <v>83</v>
      </c>
      <c r="C221" t="s">
        <v>253</v>
      </c>
      <c r="D221" s="2">
        <f t="shared" si="6"/>
        <v>110</v>
      </c>
      <c r="E221">
        <v>0.1</v>
      </c>
      <c r="F221">
        <v>4.8</v>
      </c>
      <c r="G221" t="s">
        <v>348</v>
      </c>
      <c r="H221" t="s">
        <v>626</v>
      </c>
      <c r="I221" s="3">
        <f t="shared" si="7"/>
        <v>4.8500000000000001E-2</v>
      </c>
      <c r="J221" s="1" t="s">
        <v>14</v>
      </c>
      <c r="K221">
        <v>10</v>
      </c>
    </row>
    <row r="222" spans="1:11">
      <c r="A222" s="6" t="s">
        <v>731</v>
      </c>
      <c r="B222" t="s">
        <v>83</v>
      </c>
      <c r="C222" t="s">
        <v>253</v>
      </c>
      <c r="D222" s="2">
        <f t="shared" si="6"/>
        <v>110</v>
      </c>
      <c r="E222">
        <v>0.2</v>
      </c>
      <c r="F222">
        <v>4.8</v>
      </c>
      <c r="G222" t="s">
        <v>301</v>
      </c>
      <c r="H222" t="s">
        <v>732</v>
      </c>
      <c r="I222" s="3">
        <f t="shared" si="7"/>
        <v>4.8000000000000001E-2</v>
      </c>
      <c r="J222" s="1" t="s">
        <v>14</v>
      </c>
      <c r="K222">
        <v>10</v>
      </c>
    </row>
    <row r="223" spans="1:11">
      <c r="A223" s="6" t="s">
        <v>525</v>
      </c>
      <c r="B223" t="s">
        <v>83</v>
      </c>
      <c r="C223" t="s">
        <v>253</v>
      </c>
      <c r="D223" s="2">
        <f t="shared" si="6"/>
        <v>110</v>
      </c>
      <c r="E223">
        <v>0.2</v>
      </c>
      <c r="F223">
        <v>3.8</v>
      </c>
      <c r="G223" t="s">
        <v>526</v>
      </c>
      <c r="H223" t="s">
        <v>527</v>
      </c>
      <c r="I223" s="3">
        <f t="shared" si="7"/>
        <v>3.6799999999999999E-2</v>
      </c>
      <c r="J223" s="1" t="s">
        <v>14</v>
      </c>
      <c r="K223">
        <v>10</v>
      </c>
    </row>
    <row r="224" spans="1:11">
      <c r="A224" s="6" t="s">
        <v>578</v>
      </c>
      <c r="B224" t="s">
        <v>83</v>
      </c>
      <c r="C224" t="s">
        <v>253</v>
      </c>
      <c r="D224" s="2">
        <f t="shared" si="6"/>
        <v>110</v>
      </c>
      <c r="E224">
        <v>0.1</v>
      </c>
      <c r="F224">
        <v>3</v>
      </c>
      <c r="G224" t="s">
        <v>248</v>
      </c>
      <c r="H224" t="s">
        <v>328</v>
      </c>
      <c r="I224" s="3">
        <f t="shared" si="7"/>
        <v>3.5299999999999998E-2</v>
      </c>
      <c r="J224" s="1" t="s">
        <v>14</v>
      </c>
      <c r="K224">
        <v>8</v>
      </c>
    </row>
    <row r="225" spans="1:11">
      <c r="A225" s="6" t="s">
        <v>425</v>
      </c>
      <c r="B225" t="s">
        <v>83</v>
      </c>
      <c r="C225" t="s">
        <v>253</v>
      </c>
      <c r="D225" s="2">
        <f t="shared" si="6"/>
        <v>110</v>
      </c>
      <c r="E225">
        <v>0.2</v>
      </c>
      <c r="F225">
        <v>2.5</v>
      </c>
      <c r="G225" t="s">
        <v>426</v>
      </c>
      <c r="H225" t="s">
        <v>427</v>
      </c>
      <c r="I225" s="3">
        <f t="shared" si="7"/>
        <v>2.6100000000000002E-2</v>
      </c>
      <c r="J225" s="1" t="s">
        <v>14</v>
      </c>
      <c r="K225">
        <v>10</v>
      </c>
    </row>
    <row r="226" spans="1:11">
      <c r="A226" s="6" t="s">
        <v>735</v>
      </c>
      <c r="B226" t="s">
        <v>83</v>
      </c>
      <c r="C226" t="s">
        <v>253</v>
      </c>
      <c r="D226" s="2">
        <f t="shared" si="6"/>
        <v>110</v>
      </c>
      <c r="E226">
        <v>0</v>
      </c>
      <c r="F226">
        <v>1.5</v>
      </c>
      <c r="G226" t="s">
        <v>110</v>
      </c>
      <c r="H226" t="s">
        <v>550</v>
      </c>
      <c r="I226" s="3">
        <f t="shared" si="7"/>
        <v>1.54E-2</v>
      </c>
      <c r="J226" s="1" t="s">
        <v>14</v>
      </c>
      <c r="K226">
        <v>8</v>
      </c>
    </row>
    <row r="227" spans="1:11">
      <c r="A227" s="6" t="s">
        <v>189</v>
      </c>
      <c r="B227" t="s">
        <v>83</v>
      </c>
      <c r="C227" t="s">
        <v>133</v>
      </c>
      <c r="D227" s="2">
        <f t="shared" si="6"/>
        <v>100</v>
      </c>
      <c r="E227">
        <v>0</v>
      </c>
      <c r="F227">
        <v>5.8</v>
      </c>
      <c r="G227" t="s">
        <v>110</v>
      </c>
      <c r="H227" t="s">
        <v>190</v>
      </c>
      <c r="I227" s="3">
        <f t="shared" si="7"/>
        <v>5.9900000000000002E-2</v>
      </c>
      <c r="J227" s="1" t="s">
        <v>14</v>
      </c>
      <c r="K227">
        <v>7</v>
      </c>
    </row>
    <row r="228" spans="1:11">
      <c r="A228" s="6" t="s">
        <v>589</v>
      </c>
      <c r="B228" t="s">
        <v>83</v>
      </c>
      <c r="C228" t="s">
        <v>133</v>
      </c>
      <c r="D228" s="2">
        <f t="shared" si="6"/>
        <v>100</v>
      </c>
      <c r="E228">
        <v>0.4</v>
      </c>
      <c r="F228">
        <v>3.8</v>
      </c>
      <c r="G228" t="s">
        <v>242</v>
      </c>
      <c r="H228" t="s">
        <v>467</v>
      </c>
      <c r="I228" s="3">
        <f t="shared" si="7"/>
        <v>4.2200000000000001E-2</v>
      </c>
      <c r="J228" s="1" t="s">
        <v>14</v>
      </c>
      <c r="K228">
        <v>8</v>
      </c>
    </row>
    <row r="229" spans="1:11">
      <c r="A229" s="6" t="s">
        <v>610</v>
      </c>
      <c r="B229" t="s">
        <v>108</v>
      </c>
      <c r="C229" t="s">
        <v>50</v>
      </c>
      <c r="D229" s="2">
        <f t="shared" si="6"/>
        <v>100</v>
      </c>
      <c r="E229">
        <v>0</v>
      </c>
      <c r="F229">
        <v>3.3</v>
      </c>
      <c r="G229" t="s">
        <v>110</v>
      </c>
      <c r="H229" t="s">
        <v>336</v>
      </c>
      <c r="I229" s="3">
        <f t="shared" si="7"/>
        <v>4.1200000000000001E-2</v>
      </c>
      <c r="J229" s="1" t="s">
        <v>14</v>
      </c>
      <c r="K229">
        <v>7</v>
      </c>
    </row>
    <row r="230" spans="1:11">
      <c r="A230" s="6" t="s">
        <v>369</v>
      </c>
      <c r="B230" t="s">
        <v>83</v>
      </c>
      <c r="C230" t="s">
        <v>133</v>
      </c>
      <c r="D230" s="2">
        <f t="shared" si="6"/>
        <v>100</v>
      </c>
      <c r="E230">
        <v>0.5</v>
      </c>
      <c r="F230">
        <v>3.3</v>
      </c>
      <c r="G230" t="s">
        <v>73</v>
      </c>
      <c r="H230" t="s">
        <v>370</v>
      </c>
      <c r="I230" s="3">
        <f t="shared" si="7"/>
        <v>3.7400000000000003E-2</v>
      </c>
      <c r="J230" s="1" t="s">
        <v>14</v>
      </c>
      <c r="K230">
        <v>8</v>
      </c>
    </row>
    <row r="231" spans="1:11">
      <c r="A231" s="6" t="s">
        <v>751</v>
      </c>
      <c r="B231" t="s">
        <v>83</v>
      </c>
      <c r="C231" t="s">
        <v>133</v>
      </c>
      <c r="D231" s="2">
        <f t="shared" si="6"/>
        <v>100</v>
      </c>
      <c r="E231">
        <v>0.3</v>
      </c>
      <c r="F231">
        <v>3</v>
      </c>
      <c r="G231" t="s">
        <v>179</v>
      </c>
      <c r="H231" t="s">
        <v>530</v>
      </c>
      <c r="I231" s="3">
        <f t="shared" si="7"/>
        <v>3.1600000000000003E-2</v>
      </c>
      <c r="J231" s="1" t="s">
        <v>14</v>
      </c>
      <c r="K231">
        <v>9</v>
      </c>
    </row>
    <row r="232" spans="1:11">
      <c r="A232" s="6" t="s">
        <v>692</v>
      </c>
      <c r="B232" t="s">
        <v>83</v>
      </c>
      <c r="C232" t="s">
        <v>133</v>
      </c>
      <c r="D232" s="2">
        <f t="shared" si="6"/>
        <v>100</v>
      </c>
      <c r="E232">
        <v>0</v>
      </c>
      <c r="F232">
        <v>2.8</v>
      </c>
      <c r="G232" t="s">
        <v>110</v>
      </c>
      <c r="H232" t="s">
        <v>693</v>
      </c>
      <c r="I232" s="3">
        <f t="shared" si="7"/>
        <v>2.9600000000000001E-2</v>
      </c>
      <c r="J232" s="1" t="s">
        <v>14</v>
      </c>
      <c r="K232">
        <v>10</v>
      </c>
    </row>
    <row r="233" spans="1:11">
      <c r="A233" s="6" t="s">
        <v>397</v>
      </c>
      <c r="B233" t="s">
        <v>108</v>
      </c>
      <c r="C233" t="s">
        <v>50</v>
      </c>
      <c r="D233" s="2">
        <f t="shared" si="6"/>
        <v>100</v>
      </c>
      <c r="E233">
        <v>0.8</v>
      </c>
      <c r="F233">
        <v>2.5</v>
      </c>
      <c r="G233" t="s">
        <v>168</v>
      </c>
      <c r="H233" t="s">
        <v>73</v>
      </c>
      <c r="I233" s="3">
        <f t="shared" si="7"/>
        <v>2.9499999999999998E-2</v>
      </c>
      <c r="J233" s="1" t="s">
        <v>14</v>
      </c>
      <c r="K233">
        <v>8</v>
      </c>
    </row>
    <row r="234" spans="1:11">
      <c r="A234" s="6" t="s">
        <v>471</v>
      </c>
      <c r="B234" t="s">
        <v>83</v>
      </c>
      <c r="C234" t="s">
        <v>133</v>
      </c>
      <c r="D234" s="2">
        <f t="shared" si="6"/>
        <v>100</v>
      </c>
      <c r="E234">
        <v>0.3</v>
      </c>
      <c r="F234">
        <v>2.5</v>
      </c>
      <c r="G234" t="s">
        <v>86</v>
      </c>
      <c r="H234" t="s">
        <v>250</v>
      </c>
      <c r="I234" s="3">
        <f t="shared" si="7"/>
        <v>2.8799999999999999E-2</v>
      </c>
      <c r="J234" s="1" t="s">
        <v>14</v>
      </c>
      <c r="K234">
        <v>7</v>
      </c>
    </row>
    <row r="235" spans="1:11">
      <c r="A235" s="6" t="s">
        <v>741</v>
      </c>
      <c r="B235" t="s">
        <v>83</v>
      </c>
      <c r="C235" t="s">
        <v>133</v>
      </c>
      <c r="D235" s="2">
        <f t="shared" si="6"/>
        <v>100</v>
      </c>
      <c r="E235">
        <v>0.1</v>
      </c>
      <c r="F235">
        <v>2.1</v>
      </c>
      <c r="G235" t="s">
        <v>553</v>
      </c>
      <c r="H235" t="s">
        <v>213</v>
      </c>
      <c r="I235" s="3">
        <f t="shared" si="7"/>
        <v>2.4799999999999999E-2</v>
      </c>
      <c r="J235" s="1" t="s">
        <v>14</v>
      </c>
      <c r="K235">
        <v>7</v>
      </c>
    </row>
    <row r="236" spans="1:11">
      <c r="A236" s="6" t="s">
        <v>186</v>
      </c>
      <c r="B236" t="s">
        <v>108</v>
      </c>
      <c r="C236" t="s">
        <v>50</v>
      </c>
      <c r="D236" s="2">
        <f t="shared" si="6"/>
        <v>100</v>
      </c>
      <c r="E236">
        <v>1.3</v>
      </c>
      <c r="F236">
        <v>1.8</v>
      </c>
      <c r="G236" t="s">
        <v>187</v>
      </c>
      <c r="H236" t="s">
        <v>188</v>
      </c>
      <c r="I236" s="3">
        <f t="shared" si="7"/>
        <v>2.4E-2</v>
      </c>
      <c r="J236" s="1" t="s">
        <v>14</v>
      </c>
      <c r="K236">
        <v>8</v>
      </c>
    </row>
    <row r="237" spans="1:11">
      <c r="A237" s="6" t="s">
        <v>700</v>
      </c>
      <c r="B237" t="s">
        <v>83</v>
      </c>
      <c r="C237" t="s">
        <v>133</v>
      </c>
      <c r="D237" s="2">
        <f t="shared" si="6"/>
        <v>100</v>
      </c>
      <c r="E237">
        <v>0.1</v>
      </c>
      <c r="F237">
        <v>2</v>
      </c>
      <c r="G237" t="s">
        <v>304</v>
      </c>
      <c r="H237" t="s">
        <v>178</v>
      </c>
      <c r="I237" s="3">
        <f t="shared" si="7"/>
        <v>2.2800000000000001E-2</v>
      </c>
      <c r="J237" s="1" t="s">
        <v>14</v>
      </c>
      <c r="K237">
        <v>7</v>
      </c>
    </row>
    <row r="238" spans="1:11">
      <c r="A238" s="6" t="s">
        <v>718</v>
      </c>
      <c r="B238" t="s">
        <v>83</v>
      </c>
      <c r="C238" t="s">
        <v>133</v>
      </c>
      <c r="D238" s="2">
        <f t="shared" si="6"/>
        <v>100</v>
      </c>
      <c r="E238">
        <v>0.1</v>
      </c>
      <c r="F238">
        <v>0.8</v>
      </c>
      <c r="G238" t="s">
        <v>465</v>
      </c>
      <c r="H238" t="s">
        <v>134</v>
      </c>
      <c r="I238" s="3">
        <f t="shared" si="7"/>
        <v>9.7000000000000003E-3</v>
      </c>
      <c r="J238" s="1" t="s">
        <v>14</v>
      </c>
      <c r="K238">
        <v>7</v>
      </c>
    </row>
    <row r="239" spans="1:11">
      <c r="A239" s="6" t="s">
        <v>239</v>
      </c>
      <c r="B239" t="s">
        <v>83</v>
      </c>
      <c r="C239" t="s">
        <v>133</v>
      </c>
      <c r="D239" s="2">
        <f t="shared" si="6"/>
        <v>100</v>
      </c>
      <c r="E239">
        <v>0</v>
      </c>
      <c r="F239">
        <v>0.7</v>
      </c>
      <c r="G239" t="s">
        <v>110</v>
      </c>
      <c r="H239" t="s">
        <v>240</v>
      </c>
      <c r="I239" s="3">
        <f t="shared" si="7"/>
        <v>7.4999999999999997E-3</v>
      </c>
      <c r="J239" s="1" t="s">
        <v>14</v>
      </c>
      <c r="K239">
        <v>3</v>
      </c>
    </row>
    <row r="240" spans="1:11">
      <c r="A240" s="6" t="s">
        <v>113</v>
      </c>
      <c r="B240" t="s">
        <v>108</v>
      </c>
      <c r="C240" t="s">
        <v>50</v>
      </c>
      <c r="D240" s="2">
        <f t="shared" si="6"/>
        <v>100</v>
      </c>
      <c r="E240">
        <v>0.3</v>
      </c>
      <c r="F240">
        <v>0.3</v>
      </c>
      <c r="G240" t="s">
        <v>114</v>
      </c>
      <c r="H240" t="s">
        <v>115</v>
      </c>
      <c r="I240" s="3">
        <f t="shared" si="7"/>
        <v>3.3999999999999998E-3</v>
      </c>
      <c r="J240" s="1" t="s">
        <v>14</v>
      </c>
      <c r="K240">
        <v>3</v>
      </c>
    </row>
    <row r="241" spans="1:11">
      <c r="A241" s="6" t="s">
        <v>361</v>
      </c>
      <c r="B241" t="s">
        <v>83</v>
      </c>
      <c r="C241" t="s">
        <v>133</v>
      </c>
      <c r="D241" s="2">
        <f t="shared" si="6"/>
        <v>100</v>
      </c>
      <c r="E241">
        <v>0</v>
      </c>
      <c r="F241">
        <v>0.3</v>
      </c>
      <c r="G241" t="s">
        <v>110</v>
      </c>
      <c r="H241" t="s">
        <v>362</v>
      </c>
      <c r="I241" s="3">
        <f t="shared" si="7"/>
        <v>3.0999999999999999E-3</v>
      </c>
      <c r="J241" s="1" t="s">
        <v>14</v>
      </c>
      <c r="K241">
        <v>3</v>
      </c>
    </row>
    <row r="242" spans="1:11">
      <c r="A242" s="6" t="s">
        <v>438</v>
      </c>
      <c r="B242" t="s">
        <v>108</v>
      </c>
      <c r="C242" t="s">
        <v>118</v>
      </c>
      <c r="D242" s="2">
        <f t="shared" si="6"/>
        <v>90</v>
      </c>
      <c r="E242">
        <v>2</v>
      </c>
      <c r="F242">
        <v>5.8</v>
      </c>
      <c r="G242" t="s">
        <v>329</v>
      </c>
      <c r="H242" t="s">
        <v>439</v>
      </c>
      <c r="I242" s="3">
        <f t="shared" si="7"/>
        <v>8.8499999999999995E-2</v>
      </c>
      <c r="J242" s="1" t="s">
        <v>14</v>
      </c>
      <c r="K242">
        <v>10</v>
      </c>
    </row>
    <row r="243" spans="1:11">
      <c r="A243" s="6" t="s">
        <v>416</v>
      </c>
      <c r="B243" t="s">
        <v>83</v>
      </c>
      <c r="C243" t="s">
        <v>50</v>
      </c>
      <c r="D243" s="2">
        <f t="shared" si="6"/>
        <v>90</v>
      </c>
      <c r="E243">
        <v>0.6</v>
      </c>
      <c r="F243">
        <v>4.8</v>
      </c>
      <c r="G243" t="s">
        <v>417</v>
      </c>
      <c r="H243" t="s">
        <v>418</v>
      </c>
      <c r="I243" s="3">
        <f t="shared" si="7"/>
        <v>6.0199999999999997E-2</v>
      </c>
      <c r="J243" s="1" t="s">
        <v>14</v>
      </c>
      <c r="K243">
        <v>8</v>
      </c>
    </row>
    <row r="244" spans="1:11">
      <c r="A244" s="6" t="s">
        <v>184</v>
      </c>
      <c r="B244" t="s">
        <v>83</v>
      </c>
      <c r="C244" t="s">
        <v>50</v>
      </c>
      <c r="D244" s="2">
        <f t="shared" si="6"/>
        <v>90</v>
      </c>
      <c r="E244">
        <v>0</v>
      </c>
      <c r="F244">
        <v>3.4</v>
      </c>
      <c r="G244" t="s">
        <v>110</v>
      </c>
      <c r="H244" t="s">
        <v>185</v>
      </c>
      <c r="I244" s="3">
        <f t="shared" si="7"/>
        <v>4.5499999999999999E-2</v>
      </c>
      <c r="J244" s="1" t="s">
        <v>123</v>
      </c>
      <c r="K244">
        <v>5</v>
      </c>
    </row>
    <row r="245" spans="1:11">
      <c r="A245" s="6" t="s">
        <v>365</v>
      </c>
      <c r="B245" t="s">
        <v>83</v>
      </c>
      <c r="C245" t="s">
        <v>50</v>
      </c>
      <c r="D245" s="2">
        <f t="shared" si="6"/>
        <v>90</v>
      </c>
      <c r="E245">
        <v>0.1</v>
      </c>
      <c r="F245">
        <v>2.2999999999999998</v>
      </c>
      <c r="G245" t="s">
        <v>366</v>
      </c>
      <c r="H245" t="s">
        <v>367</v>
      </c>
      <c r="I245" s="3">
        <f t="shared" si="7"/>
        <v>2.93E-2</v>
      </c>
      <c r="J245" s="1" t="s">
        <v>14</v>
      </c>
      <c r="K245">
        <v>7</v>
      </c>
    </row>
    <row r="246" spans="1:11">
      <c r="A246" s="6" t="s">
        <v>581</v>
      </c>
      <c r="B246" t="s">
        <v>83</v>
      </c>
      <c r="C246" t="s">
        <v>50</v>
      </c>
      <c r="D246" s="2">
        <f t="shared" si="6"/>
        <v>90</v>
      </c>
      <c r="E246">
        <v>0.1</v>
      </c>
      <c r="F246">
        <v>1</v>
      </c>
      <c r="G246" t="s">
        <v>319</v>
      </c>
      <c r="H246" t="s">
        <v>465</v>
      </c>
      <c r="I246" s="3">
        <f t="shared" si="7"/>
        <v>1.2999999999999999E-2</v>
      </c>
      <c r="J246" s="1" t="s">
        <v>14</v>
      </c>
      <c r="K246">
        <v>10</v>
      </c>
    </row>
    <row r="247" spans="1:11">
      <c r="A247" s="6" t="s">
        <v>234</v>
      </c>
      <c r="B247" t="s">
        <v>83</v>
      </c>
      <c r="C247" t="s">
        <v>50</v>
      </c>
      <c r="D247" s="2">
        <f t="shared" si="6"/>
        <v>90</v>
      </c>
      <c r="E247">
        <v>0</v>
      </c>
      <c r="F247">
        <v>1</v>
      </c>
      <c r="G247" t="s">
        <v>110</v>
      </c>
      <c r="H247" t="s">
        <v>57</v>
      </c>
      <c r="I247" s="3">
        <f t="shared" si="7"/>
        <v>1.2699999999999999E-2</v>
      </c>
      <c r="J247" s="1" t="s">
        <v>14</v>
      </c>
      <c r="K247">
        <v>8</v>
      </c>
    </row>
    <row r="248" spans="1:11">
      <c r="A248" s="6" t="s">
        <v>709</v>
      </c>
      <c r="B248" t="s">
        <v>83</v>
      </c>
      <c r="C248" t="s">
        <v>50</v>
      </c>
      <c r="D248" s="2">
        <f t="shared" si="6"/>
        <v>90</v>
      </c>
      <c r="E248">
        <v>0.3</v>
      </c>
      <c r="F248">
        <v>0.8</v>
      </c>
      <c r="G248" t="s">
        <v>599</v>
      </c>
      <c r="H248" t="s">
        <v>710</v>
      </c>
      <c r="I248" s="3">
        <f t="shared" si="7"/>
        <v>9.4000000000000004E-3</v>
      </c>
      <c r="J248" s="1" t="s">
        <v>14</v>
      </c>
      <c r="K248">
        <v>10</v>
      </c>
    </row>
    <row r="249" spans="1:11">
      <c r="A249" s="6" t="s">
        <v>748</v>
      </c>
      <c r="B249" t="s">
        <v>83</v>
      </c>
      <c r="C249" t="s">
        <v>50</v>
      </c>
      <c r="D249" s="2">
        <f t="shared" si="6"/>
        <v>90</v>
      </c>
      <c r="E249">
        <v>0</v>
      </c>
      <c r="F249">
        <v>0.3</v>
      </c>
      <c r="G249" t="s">
        <v>110</v>
      </c>
      <c r="H249" t="s">
        <v>749</v>
      </c>
      <c r="I249" s="3">
        <f t="shared" si="7"/>
        <v>3.5000000000000001E-3</v>
      </c>
      <c r="J249" s="1" t="s">
        <v>14</v>
      </c>
      <c r="K249">
        <v>7</v>
      </c>
    </row>
    <row r="250" spans="1:11">
      <c r="A250" s="6" t="s">
        <v>752</v>
      </c>
      <c r="B250" t="s">
        <v>83</v>
      </c>
      <c r="C250" t="s">
        <v>118</v>
      </c>
      <c r="D250" s="2">
        <f t="shared" si="6"/>
        <v>80</v>
      </c>
      <c r="E250">
        <v>0.1</v>
      </c>
      <c r="F250">
        <v>4.8</v>
      </c>
      <c r="G250" t="s">
        <v>248</v>
      </c>
      <c r="H250" t="s">
        <v>753</v>
      </c>
      <c r="I250" s="3">
        <f t="shared" si="7"/>
        <v>7.3099999999999998E-2</v>
      </c>
      <c r="J250" s="1" t="s">
        <v>14</v>
      </c>
      <c r="K250">
        <v>8</v>
      </c>
    </row>
    <row r="251" spans="1:11">
      <c r="A251" s="6" t="s">
        <v>406</v>
      </c>
      <c r="B251" t="s">
        <v>83</v>
      </c>
      <c r="C251" t="s">
        <v>118</v>
      </c>
      <c r="D251" s="2">
        <f t="shared" si="6"/>
        <v>80</v>
      </c>
      <c r="E251">
        <v>0.4</v>
      </c>
      <c r="F251">
        <v>3.5</v>
      </c>
      <c r="G251" t="s">
        <v>407</v>
      </c>
      <c r="H251" t="s">
        <v>408</v>
      </c>
      <c r="I251" s="3">
        <f t="shared" si="7"/>
        <v>5.2299999999999999E-2</v>
      </c>
      <c r="J251" s="1" t="s">
        <v>14</v>
      </c>
      <c r="K251">
        <v>8</v>
      </c>
    </row>
    <row r="252" spans="1:11">
      <c r="A252" s="6" t="s">
        <v>117</v>
      </c>
      <c r="B252" t="s">
        <v>83</v>
      </c>
      <c r="C252" t="s">
        <v>118</v>
      </c>
      <c r="D252" s="2">
        <f t="shared" si="6"/>
        <v>80</v>
      </c>
      <c r="E252">
        <v>0.4</v>
      </c>
      <c r="F252">
        <v>3.5</v>
      </c>
      <c r="G252" t="s">
        <v>119</v>
      </c>
      <c r="H252" t="s">
        <v>120</v>
      </c>
      <c r="I252" s="3">
        <f t="shared" si="7"/>
        <v>5.0799999999999998E-2</v>
      </c>
      <c r="J252" s="1" t="s">
        <v>14</v>
      </c>
      <c r="K252">
        <v>8</v>
      </c>
    </row>
    <row r="253" spans="1:11">
      <c r="A253" s="6" t="s">
        <v>154</v>
      </c>
      <c r="B253" t="s">
        <v>83</v>
      </c>
      <c r="C253" t="s">
        <v>118</v>
      </c>
      <c r="D253" s="2">
        <f t="shared" si="6"/>
        <v>80</v>
      </c>
      <c r="E253">
        <v>1.6</v>
      </c>
      <c r="F253">
        <v>3.3</v>
      </c>
      <c r="G253" t="s">
        <v>155</v>
      </c>
      <c r="H253" t="s">
        <v>120</v>
      </c>
      <c r="I253" s="3">
        <f t="shared" si="7"/>
        <v>5.0799999999999998E-2</v>
      </c>
      <c r="J253" s="1" t="s">
        <v>14</v>
      </c>
      <c r="K253">
        <v>10</v>
      </c>
    </row>
    <row r="254" spans="1:11">
      <c r="A254" s="6" t="s">
        <v>129</v>
      </c>
      <c r="B254" t="s">
        <v>83</v>
      </c>
      <c r="C254" t="s">
        <v>118</v>
      </c>
      <c r="D254" s="2">
        <f t="shared" si="6"/>
        <v>80</v>
      </c>
      <c r="E254">
        <v>0.3</v>
      </c>
      <c r="F254">
        <v>2.8</v>
      </c>
      <c r="G254" t="s">
        <v>130</v>
      </c>
      <c r="H254" t="s">
        <v>131</v>
      </c>
      <c r="I254" s="3">
        <f t="shared" si="7"/>
        <v>3.7199999999999997E-2</v>
      </c>
      <c r="J254" s="1" t="s">
        <v>14</v>
      </c>
      <c r="K254">
        <v>7</v>
      </c>
    </row>
    <row r="255" spans="1:11">
      <c r="A255" s="6" t="s">
        <v>531</v>
      </c>
      <c r="B255" t="s">
        <v>83</v>
      </c>
      <c r="C255" t="s">
        <v>118</v>
      </c>
      <c r="D255" s="2">
        <f t="shared" si="6"/>
        <v>80</v>
      </c>
      <c r="E255">
        <v>0</v>
      </c>
      <c r="F255">
        <v>1.5</v>
      </c>
      <c r="G255" t="s">
        <v>110</v>
      </c>
      <c r="H255" t="s">
        <v>532</v>
      </c>
      <c r="I255" s="3">
        <f t="shared" si="7"/>
        <v>2.0899999999999998E-2</v>
      </c>
      <c r="J255" s="1" t="s">
        <v>14</v>
      </c>
      <c r="K255">
        <v>10</v>
      </c>
    </row>
    <row r="256" spans="1:11">
      <c r="A256" s="6" t="s">
        <v>686</v>
      </c>
      <c r="B256" t="s">
        <v>108</v>
      </c>
      <c r="C256" t="s">
        <v>109</v>
      </c>
      <c r="D256" s="2">
        <f t="shared" si="6"/>
        <v>80</v>
      </c>
      <c r="E256">
        <v>0.2</v>
      </c>
      <c r="F256">
        <v>1</v>
      </c>
      <c r="G256" t="s">
        <v>143</v>
      </c>
      <c r="H256" t="s">
        <v>687</v>
      </c>
      <c r="I256" s="3">
        <f t="shared" si="7"/>
        <v>1.7000000000000001E-2</v>
      </c>
      <c r="J256" s="1" t="s">
        <v>14</v>
      </c>
      <c r="K256">
        <v>10</v>
      </c>
    </row>
    <row r="257" spans="1:11">
      <c r="A257" s="6" t="s">
        <v>464</v>
      </c>
      <c r="B257" t="s">
        <v>83</v>
      </c>
      <c r="C257" t="s">
        <v>118</v>
      </c>
      <c r="D257" s="2">
        <f t="shared" si="6"/>
        <v>80</v>
      </c>
      <c r="E257">
        <v>0</v>
      </c>
      <c r="F257">
        <v>0.8</v>
      </c>
      <c r="G257" t="s">
        <v>110</v>
      </c>
      <c r="H257" t="s">
        <v>465</v>
      </c>
      <c r="I257" s="3">
        <f t="shared" si="7"/>
        <v>1.2999999999999999E-2</v>
      </c>
      <c r="J257" s="1" t="s">
        <v>14</v>
      </c>
      <c r="K257">
        <v>3</v>
      </c>
    </row>
    <row r="258" spans="1:11">
      <c r="A258" s="6" t="s">
        <v>107</v>
      </c>
      <c r="B258" t="s">
        <v>108</v>
      </c>
      <c r="C258" t="s">
        <v>109</v>
      </c>
      <c r="D258" s="2">
        <f t="shared" ref="D258:D321" si="8">B258+C258</f>
        <v>80</v>
      </c>
      <c r="E258">
        <v>0</v>
      </c>
      <c r="F258">
        <v>0.3</v>
      </c>
      <c r="G258" t="s">
        <v>110</v>
      </c>
      <c r="H258" t="s">
        <v>111</v>
      </c>
      <c r="I258" s="3">
        <f t="shared" ref="I258:I321" si="9">H258+0</f>
        <v>4.8999999999999998E-3</v>
      </c>
      <c r="J258" s="1" t="s">
        <v>14</v>
      </c>
      <c r="K258">
        <v>3</v>
      </c>
    </row>
    <row r="259" spans="1:11">
      <c r="A259" s="6" t="s">
        <v>642</v>
      </c>
      <c r="B259" t="s">
        <v>83</v>
      </c>
      <c r="C259" t="s">
        <v>118</v>
      </c>
      <c r="D259" s="2">
        <f t="shared" si="8"/>
        <v>80</v>
      </c>
      <c r="E259">
        <v>0</v>
      </c>
      <c r="F259">
        <v>0.3</v>
      </c>
      <c r="G259" t="s">
        <v>110</v>
      </c>
      <c r="H259" t="s">
        <v>643</v>
      </c>
      <c r="I259" s="3">
        <f t="shared" si="9"/>
        <v>4.0000000000000001E-3</v>
      </c>
      <c r="J259" s="1" t="s">
        <v>14</v>
      </c>
      <c r="K259">
        <v>3</v>
      </c>
    </row>
    <row r="260" spans="1:11">
      <c r="A260" s="6" t="s">
        <v>146</v>
      </c>
      <c r="B260" t="s">
        <v>83</v>
      </c>
      <c r="C260" t="s">
        <v>118</v>
      </c>
      <c r="D260" s="2">
        <f t="shared" si="8"/>
        <v>80</v>
      </c>
      <c r="E260">
        <v>0</v>
      </c>
      <c r="F260">
        <v>0.3</v>
      </c>
      <c r="G260" t="s">
        <v>110</v>
      </c>
      <c r="H260" t="s">
        <v>147</v>
      </c>
      <c r="I260" s="3">
        <f t="shared" si="9"/>
        <v>3.8E-3</v>
      </c>
      <c r="J260" s="1" t="s">
        <v>14</v>
      </c>
      <c r="K260">
        <v>3</v>
      </c>
    </row>
    <row r="261" spans="1:11">
      <c r="A261" s="6" t="s">
        <v>388</v>
      </c>
      <c r="B261" t="s">
        <v>83</v>
      </c>
      <c r="C261" t="s">
        <v>118</v>
      </c>
      <c r="D261" s="2">
        <f t="shared" si="8"/>
        <v>80</v>
      </c>
      <c r="E261">
        <v>0</v>
      </c>
      <c r="F261">
        <v>0.3</v>
      </c>
      <c r="G261" t="s">
        <v>110</v>
      </c>
      <c r="H261" t="s">
        <v>147</v>
      </c>
      <c r="I261" s="3">
        <f t="shared" si="9"/>
        <v>3.8E-3</v>
      </c>
      <c r="J261" s="1" t="s">
        <v>14</v>
      </c>
      <c r="K261">
        <v>7</v>
      </c>
    </row>
    <row r="262" spans="1:11">
      <c r="A262" s="6" t="s">
        <v>705</v>
      </c>
      <c r="B262" t="s">
        <v>83</v>
      </c>
      <c r="C262" t="s">
        <v>118</v>
      </c>
      <c r="D262" s="2">
        <f t="shared" si="8"/>
        <v>80</v>
      </c>
      <c r="E262">
        <v>0</v>
      </c>
      <c r="F262">
        <v>0.3</v>
      </c>
      <c r="G262" t="s">
        <v>110</v>
      </c>
      <c r="H262" t="s">
        <v>67</v>
      </c>
      <c r="I262" s="3">
        <f t="shared" si="9"/>
        <v>3.5999999999999999E-3</v>
      </c>
      <c r="J262" s="1" t="s">
        <v>14</v>
      </c>
      <c r="K262">
        <v>8</v>
      </c>
    </row>
    <row r="263" spans="1:11">
      <c r="A263" s="6" t="s">
        <v>164</v>
      </c>
      <c r="B263" t="s">
        <v>83</v>
      </c>
      <c r="C263" t="s">
        <v>109</v>
      </c>
      <c r="D263" s="2">
        <f t="shared" si="8"/>
        <v>70</v>
      </c>
      <c r="E263">
        <v>1.3</v>
      </c>
      <c r="F263">
        <v>7.5</v>
      </c>
      <c r="G263" t="s">
        <v>165</v>
      </c>
      <c r="H263" t="s">
        <v>166</v>
      </c>
      <c r="I263" s="3">
        <f t="shared" si="9"/>
        <v>0.121</v>
      </c>
      <c r="J263" s="1" t="s">
        <v>14</v>
      </c>
      <c r="K263">
        <v>10</v>
      </c>
    </row>
    <row r="264" spans="1:11">
      <c r="A264" s="6" t="s">
        <v>714</v>
      </c>
      <c r="B264" t="s">
        <v>83</v>
      </c>
      <c r="C264" t="s">
        <v>109</v>
      </c>
      <c r="D264" s="2">
        <f t="shared" si="8"/>
        <v>70</v>
      </c>
      <c r="E264">
        <v>0.7</v>
      </c>
      <c r="F264">
        <v>5</v>
      </c>
      <c r="G264" t="s">
        <v>336</v>
      </c>
      <c r="H264" t="s">
        <v>715</v>
      </c>
      <c r="I264" s="3">
        <f t="shared" si="9"/>
        <v>8.7800000000000003E-2</v>
      </c>
      <c r="J264" s="1" t="s">
        <v>14</v>
      </c>
      <c r="K264">
        <v>10</v>
      </c>
    </row>
    <row r="265" spans="1:11">
      <c r="A265" s="6" t="s">
        <v>315</v>
      </c>
      <c r="B265" t="s">
        <v>83</v>
      </c>
      <c r="C265" t="s">
        <v>109</v>
      </c>
      <c r="D265" s="2">
        <f t="shared" si="8"/>
        <v>70</v>
      </c>
      <c r="E265">
        <v>0</v>
      </c>
      <c r="F265">
        <v>3.5</v>
      </c>
      <c r="G265" t="s">
        <v>110</v>
      </c>
      <c r="H265" t="s">
        <v>316</v>
      </c>
      <c r="I265" s="3">
        <f t="shared" si="9"/>
        <v>5.9400000000000001E-2</v>
      </c>
      <c r="J265" s="1" t="s">
        <v>14</v>
      </c>
      <c r="K265">
        <v>8</v>
      </c>
    </row>
    <row r="266" spans="1:11">
      <c r="A266" s="6" t="s">
        <v>144</v>
      </c>
      <c r="B266" t="s">
        <v>83</v>
      </c>
      <c r="C266" t="s">
        <v>109</v>
      </c>
      <c r="D266" s="2">
        <f t="shared" si="8"/>
        <v>70</v>
      </c>
      <c r="E266">
        <v>0</v>
      </c>
      <c r="F266">
        <v>2.5</v>
      </c>
      <c r="G266" t="s">
        <v>110</v>
      </c>
      <c r="H266" t="s">
        <v>145</v>
      </c>
      <c r="I266" s="3">
        <f t="shared" si="9"/>
        <v>3.9699999999999999E-2</v>
      </c>
      <c r="J266" s="1" t="s">
        <v>14</v>
      </c>
      <c r="K266">
        <v>7</v>
      </c>
    </row>
    <row r="267" spans="1:11">
      <c r="A267" s="6" t="s">
        <v>716</v>
      </c>
      <c r="B267" t="s">
        <v>83</v>
      </c>
      <c r="C267" t="s">
        <v>109</v>
      </c>
      <c r="D267" s="2">
        <f t="shared" si="8"/>
        <v>70</v>
      </c>
      <c r="E267">
        <v>0.8</v>
      </c>
      <c r="F267">
        <v>2.5</v>
      </c>
      <c r="G267" t="s">
        <v>717</v>
      </c>
      <c r="H267" t="s">
        <v>527</v>
      </c>
      <c r="I267" s="3">
        <f t="shared" si="9"/>
        <v>3.6799999999999999E-2</v>
      </c>
      <c r="J267" s="1" t="s">
        <v>14</v>
      </c>
      <c r="K267">
        <v>10</v>
      </c>
    </row>
    <row r="268" spans="1:11">
      <c r="A268" s="6" t="s">
        <v>734</v>
      </c>
      <c r="B268" t="s">
        <v>83</v>
      </c>
      <c r="C268" t="s">
        <v>109</v>
      </c>
      <c r="D268" s="2">
        <f t="shared" si="8"/>
        <v>70</v>
      </c>
      <c r="E268">
        <v>0</v>
      </c>
      <c r="F268">
        <v>1.6</v>
      </c>
      <c r="G268" t="s">
        <v>110</v>
      </c>
      <c r="H268" t="s">
        <v>298</v>
      </c>
      <c r="I268" s="3">
        <f t="shared" si="9"/>
        <v>2.6599999999999999E-2</v>
      </c>
      <c r="J268" s="1" t="s">
        <v>14</v>
      </c>
      <c r="K268">
        <v>7</v>
      </c>
    </row>
    <row r="269" spans="1:11">
      <c r="A269" s="6" t="s">
        <v>227</v>
      </c>
      <c r="B269" t="s">
        <v>83</v>
      </c>
      <c r="C269" t="s">
        <v>109</v>
      </c>
      <c r="D269" s="2">
        <f t="shared" si="8"/>
        <v>70</v>
      </c>
      <c r="E269">
        <v>0.3</v>
      </c>
      <c r="F269">
        <v>1.5</v>
      </c>
      <c r="G269" t="s">
        <v>228</v>
      </c>
      <c r="H269" t="s">
        <v>229</v>
      </c>
      <c r="I269" s="3">
        <f t="shared" si="9"/>
        <v>2.46E-2</v>
      </c>
      <c r="J269" s="1" t="s">
        <v>14</v>
      </c>
      <c r="K269">
        <v>8</v>
      </c>
    </row>
    <row r="270" spans="1:11">
      <c r="A270" s="6" t="s">
        <v>280</v>
      </c>
      <c r="B270" t="s">
        <v>83</v>
      </c>
      <c r="C270" t="s">
        <v>109</v>
      </c>
      <c r="D270" s="2">
        <f t="shared" si="8"/>
        <v>70</v>
      </c>
      <c r="E270">
        <v>0.9</v>
      </c>
      <c r="F270">
        <v>0.6</v>
      </c>
      <c r="G270" t="s">
        <v>281</v>
      </c>
      <c r="H270" t="s">
        <v>282</v>
      </c>
      <c r="I270" s="3">
        <f t="shared" si="9"/>
        <v>9.2999999999999992E-3</v>
      </c>
      <c r="J270" s="1" t="s">
        <v>14</v>
      </c>
      <c r="K270">
        <v>7</v>
      </c>
    </row>
    <row r="271" spans="1:11">
      <c r="A271" s="6" t="s">
        <v>739</v>
      </c>
      <c r="B271" t="s">
        <v>83</v>
      </c>
      <c r="C271" t="s">
        <v>109</v>
      </c>
      <c r="D271" s="2">
        <f t="shared" si="8"/>
        <v>70</v>
      </c>
      <c r="E271">
        <v>0.9</v>
      </c>
      <c r="F271">
        <v>0.5</v>
      </c>
      <c r="G271" t="s">
        <v>85</v>
      </c>
      <c r="H271" t="s">
        <v>740</v>
      </c>
      <c r="I271" s="3">
        <f t="shared" si="9"/>
        <v>8.3000000000000001E-3</v>
      </c>
      <c r="J271" s="1" t="s">
        <v>14</v>
      </c>
      <c r="K271">
        <v>7</v>
      </c>
    </row>
    <row r="272" spans="1:11">
      <c r="A272" s="6" t="s">
        <v>472</v>
      </c>
      <c r="B272" t="s">
        <v>83</v>
      </c>
      <c r="C272" t="s">
        <v>125</v>
      </c>
      <c r="D272" s="2">
        <f t="shared" si="8"/>
        <v>60</v>
      </c>
      <c r="E272">
        <v>0.4</v>
      </c>
      <c r="F272">
        <v>4</v>
      </c>
      <c r="G272" t="s">
        <v>383</v>
      </c>
      <c r="H272" t="s">
        <v>473</v>
      </c>
      <c r="I272" s="3">
        <f t="shared" si="9"/>
        <v>7.0199999999999999E-2</v>
      </c>
      <c r="J272" s="1" t="s">
        <v>14</v>
      </c>
      <c r="K272">
        <v>8</v>
      </c>
    </row>
    <row r="273" spans="1:11">
      <c r="A273" s="6" t="s">
        <v>738</v>
      </c>
      <c r="B273" t="s">
        <v>83</v>
      </c>
      <c r="C273" t="s">
        <v>125</v>
      </c>
      <c r="D273" s="2">
        <f t="shared" si="8"/>
        <v>60</v>
      </c>
      <c r="E273">
        <v>0.3</v>
      </c>
      <c r="F273">
        <v>2.8</v>
      </c>
      <c r="G273" t="s">
        <v>173</v>
      </c>
      <c r="H273" t="s">
        <v>455</v>
      </c>
      <c r="I273" s="3">
        <f t="shared" si="9"/>
        <v>5.62E-2</v>
      </c>
      <c r="J273" s="1" t="s">
        <v>14</v>
      </c>
      <c r="K273">
        <v>10</v>
      </c>
    </row>
    <row r="274" spans="1:11">
      <c r="A274" s="6" t="s">
        <v>167</v>
      </c>
      <c r="B274" t="s">
        <v>83</v>
      </c>
      <c r="C274" t="s">
        <v>125</v>
      </c>
      <c r="D274" s="2">
        <f t="shared" si="8"/>
        <v>60</v>
      </c>
      <c r="E274">
        <v>0.4</v>
      </c>
      <c r="F274">
        <v>2.2999999999999998</v>
      </c>
      <c r="G274" t="s">
        <v>168</v>
      </c>
      <c r="H274" t="s">
        <v>169</v>
      </c>
      <c r="I274" s="3">
        <f t="shared" si="9"/>
        <v>4.4200000000000003E-2</v>
      </c>
      <c r="J274" s="1" t="s">
        <v>14</v>
      </c>
      <c r="K274">
        <v>7</v>
      </c>
    </row>
    <row r="275" spans="1:11">
      <c r="A275" s="6" t="s">
        <v>640</v>
      </c>
      <c r="B275" t="s">
        <v>108</v>
      </c>
      <c r="C275" t="s">
        <v>132</v>
      </c>
      <c r="D275" s="2">
        <f t="shared" si="8"/>
        <v>60</v>
      </c>
      <c r="E275">
        <v>0.7</v>
      </c>
      <c r="F275">
        <v>1.8</v>
      </c>
      <c r="G275" t="s">
        <v>641</v>
      </c>
      <c r="H275" t="s">
        <v>445</v>
      </c>
      <c r="I275" s="3">
        <f t="shared" si="9"/>
        <v>4.07E-2</v>
      </c>
      <c r="J275" s="1" t="s">
        <v>14</v>
      </c>
      <c r="K275">
        <v>7</v>
      </c>
    </row>
    <row r="276" spans="1:11">
      <c r="A276" s="6" t="s">
        <v>330</v>
      </c>
      <c r="B276" t="s">
        <v>83</v>
      </c>
      <c r="C276" t="s">
        <v>132</v>
      </c>
      <c r="D276" s="2">
        <f t="shared" si="8"/>
        <v>50</v>
      </c>
      <c r="E276">
        <v>0.3</v>
      </c>
      <c r="F276">
        <v>4.8</v>
      </c>
      <c r="G276" t="s">
        <v>237</v>
      </c>
      <c r="H276" t="s">
        <v>331</v>
      </c>
      <c r="I276" s="3">
        <f t="shared" si="9"/>
        <v>0.1188</v>
      </c>
      <c r="J276" s="1" t="s">
        <v>14</v>
      </c>
      <c r="K276">
        <v>7</v>
      </c>
    </row>
    <row r="277" spans="1:11">
      <c r="A277" s="6" t="s">
        <v>432</v>
      </c>
      <c r="B277" t="s">
        <v>83</v>
      </c>
      <c r="C277" t="s">
        <v>132</v>
      </c>
      <c r="D277" s="2">
        <f t="shared" si="8"/>
        <v>50</v>
      </c>
      <c r="E277">
        <v>0.3</v>
      </c>
      <c r="F277">
        <v>1.3</v>
      </c>
      <c r="G277" t="s">
        <v>237</v>
      </c>
      <c r="H277" t="s">
        <v>431</v>
      </c>
      <c r="I277" s="3">
        <f t="shared" si="9"/>
        <v>2.86E-2</v>
      </c>
      <c r="J277" s="1" t="s">
        <v>14</v>
      </c>
      <c r="K277">
        <v>7</v>
      </c>
    </row>
    <row r="278" spans="1:11">
      <c r="A278" s="6" t="s">
        <v>498</v>
      </c>
      <c r="B278" t="s">
        <v>83</v>
      </c>
      <c r="C278" t="s">
        <v>116</v>
      </c>
      <c r="D278" s="2">
        <f t="shared" si="8"/>
        <v>40</v>
      </c>
      <c r="E278">
        <v>0</v>
      </c>
      <c r="F278">
        <v>1.3</v>
      </c>
      <c r="G278" t="s">
        <v>110</v>
      </c>
      <c r="H278" t="s">
        <v>499</v>
      </c>
      <c r="I278" s="3">
        <f t="shared" si="9"/>
        <v>4.0399999999999998E-2</v>
      </c>
      <c r="J278" s="1" t="s">
        <v>14</v>
      </c>
      <c r="K278">
        <v>8</v>
      </c>
    </row>
    <row r="279" spans="1:11">
      <c r="A279" s="6" t="s">
        <v>181</v>
      </c>
      <c r="B279" t="s">
        <v>83</v>
      </c>
      <c r="C279" t="s">
        <v>116</v>
      </c>
      <c r="D279" s="2">
        <f t="shared" si="8"/>
        <v>40</v>
      </c>
      <c r="E279">
        <v>0.1</v>
      </c>
      <c r="F279">
        <v>0.8</v>
      </c>
      <c r="G279" t="s">
        <v>182</v>
      </c>
      <c r="H279" t="s">
        <v>183</v>
      </c>
      <c r="I279" s="3">
        <f t="shared" si="9"/>
        <v>2.1899999999999999E-2</v>
      </c>
      <c r="J279" s="1" t="s">
        <v>14</v>
      </c>
      <c r="K279">
        <v>7</v>
      </c>
    </row>
    <row r="280" spans="1:11">
      <c r="A280" s="6" t="s">
        <v>701</v>
      </c>
      <c r="B280" t="s">
        <v>83</v>
      </c>
      <c r="C280" t="s">
        <v>116</v>
      </c>
      <c r="D280" s="2">
        <f t="shared" si="8"/>
        <v>40</v>
      </c>
      <c r="E280">
        <v>0.1</v>
      </c>
      <c r="F280">
        <v>0.6</v>
      </c>
      <c r="G280" t="s">
        <v>576</v>
      </c>
      <c r="H280" t="s">
        <v>702</v>
      </c>
      <c r="I280" s="3">
        <f t="shared" si="9"/>
        <v>1.8599999999999998E-2</v>
      </c>
      <c r="J280" s="1" t="s">
        <v>14</v>
      </c>
      <c r="K280">
        <v>7</v>
      </c>
    </row>
    <row r="281" spans="1:11">
      <c r="A281" s="6" t="s">
        <v>632</v>
      </c>
      <c r="B281" t="s">
        <v>83</v>
      </c>
      <c r="C281" t="s">
        <v>116</v>
      </c>
      <c r="D281" s="2">
        <f t="shared" si="8"/>
        <v>40</v>
      </c>
      <c r="E281">
        <v>0.3</v>
      </c>
      <c r="F281">
        <v>0.5</v>
      </c>
      <c r="G281" t="s">
        <v>73</v>
      </c>
      <c r="H281" t="s">
        <v>128</v>
      </c>
      <c r="I281" s="3">
        <f t="shared" si="9"/>
        <v>1.3899999999999999E-2</v>
      </c>
      <c r="J281" s="1" t="s">
        <v>123</v>
      </c>
      <c r="K281">
        <v>3</v>
      </c>
    </row>
    <row r="282" spans="1:11">
      <c r="A282" s="6" t="s">
        <v>195</v>
      </c>
      <c r="B282" t="s">
        <v>83</v>
      </c>
      <c r="C282" t="s">
        <v>108</v>
      </c>
      <c r="D282" s="2">
        <f t="shared" si="8"/>
        <v>30</v>
      </c>
      <c r="E282">
        <v>0.8</v>
      </c>
      <c r="F282">
        <v>2.5</v>
      </c>
      <c r="G282" t="s">
        <v>196</v>
      </c>
      <c r="H282" t="s">
        <v>197</v>
      </c>
      <c r="I282" s="3">
        <f t="shared" si="9"/>
        <v>8.6300000000000002E-2</v>
      </c>
      <c r="J282" s="1" t="s">
        <v>14</v>
      </c>
      <c r="K282">
        <v>10</v>
      </c>
    </row>
    <row r="283" spans="1:11">
      <c r="A283" s="6" t="s">
        <v>402</v>
      </c>
      <c r="B283" t="s">
        <v>83</v>
      </c>
      <c r="C283" t="s">
        <v>108</v>
      </c>
      <c r="D283" s="2">
        <f t="shared" si="8"/>
        <v>30</v>
      </c>
      <c r="E283">
        <v>0.1</v>
      </c>
      <c r="F283">
        <v>0.5</v>
      </c>
      <c r="G283" t="s">
        <v>149</v>
      </c>
      <c r="H283" t="s">
        <v>136</v>
      </c>
      <c r="I283" s="3">
        <f t="shared" si="9"/>
        <v>2.0500000000000001E-2</v>
      </c>
      <c r="J283" s="1" t="s">
        <v>14</v>
      </c>
      <c r="K283">
        <v>7</v>
      </c>
    </row>
    <row r="284" spans="1:11">
      <c r="A284" s="6" t="s">
        <v>733</v>
      </c>
      <c r="B284" t="s">
        <v>83</v>
      </c>
      <c r="C284" t="s">
        <v>108</v>
      </c>
      <c r="D284" s="2">
        <f t="shared" si="8"/>
        <v>30</v>
      </c>
      <c r="E284">
        <v>0.3</v>
      </c>
      <c r="F284">
        <v>0.3</v>
      </c>
      <c r="G284" t="s">
        <v>33</v>
      </c>
      <c r="H284" t="s">
        <v>376</v>
      </c>
      <c r="I284" s="3">
        <f t="shared" si="9"/>
        <v>1.2E-2</v>
      </c>
      <c r="J284" s="1" t="s">
        <v>14</v>
      </c>
      <c r="K284">
        <v>7</v>
      </c>
    </row>
  </sheetData>
  <autoFilter ref="A1:K284" xr:uid="{00000000-0001-0000-0000-000000000000}">
    <sortState xmlns:xlrd2="http://schemas.microsoft.com/office/spreadsheetml/2017/richdata2" ref="A2:K284">
      <sortCondition descending="1" ref="D1:D284"/>
    </sortState>
  </autoFilter>
  <phoneticPr fontId="3" type="noConversion"/>
  <pageMargins left="0.7" right="0.7" top="0.75" bottom="0.75" header="0.3" footer="0.3"/>
  <ignoredErrors>
    <ignoredError sqref="J1:K1 A1:C1 E1:H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CC0A-DF31-3841-BDBF-289F9734257C}">
  <dimension ref="B2:M7"/>
  <sheetViews>
    <sheetView workbookViewId="0">
      <selection activeCell="I7" sqref="I7"/>
    </sheetView>
  </sheetViews>
  <sheetFormatPr baseColWidth="10" defaultRowHeight="50" customHeight="1"/>
  <cols>
    <col min="1" max="1" width="10.7109375" style="7"/>
    <col min="2" max="12" width="22.5703125" style="7" customWidth="1"/>
    <col min="13" max="13" width="25.5703125" style="7" bestFit="1" customWidth="1"/>
    <col min="14" max="22" width="22.5703125" style="7" customWidth="1"/>
    <col min="23" max="16384" width="10.7109375" style="7"/>
  </cols>
  <sheetData>
    <row r="2" spans="2:13" ht="50" customHeight="1">
      <c r="D2" s="7" t="s">
        <v>784</v>
      </c>
    </row>
    <row r="3" spans="2:13" ht="50" customHeight="1">
      <c r="B3" s="7" t="s">
        <v>770</v>
      </c>
      <c r="C3" s="7" t="s">
        <v>775</v>
      </c>
      <c r="D3" s="7" t="s">
        <v>776</v>
      </c>
      <c r="E3" s="7" t="s">
        <v>774</v>
      </c>
      <c r="F3" s="7" t="s">
        <v>771</v>
      </c>
      <c r="G3" s="7" t="s">
        <v>772</v>
      </c>
      <c r="H3" s="7" t="s">
        <v>776</v>
      </c>
      <c r="I3" s="7" t="s">
        <v>773</v>
      </c>
      <c r="J3" s="7" t="s">
        <v>779</v>
      </c>
      <c r="K3" s="7" t="s">
        <v>780</v>
      </c>
      <c r="L3" s="7" t="s">
        <v>781</v>
      </c>
      <c r="M3" s="7" t="s">
        <v>782</v>
      </c>
    </row>
    <row r="4" spans="2:13" ht="50" customHeight="1">
      <c r="B4" s="7" t="s">
        <v>769</v>
      </c>
      <c r="C4" s="8">
        <v>1580</v>
      </c>
      <c r="D4" s="9">
        <v>4.82E-2</v>
      </c>
      <c r="E4" s="8">
        <v>500</v>
      </c>
      <c r="F4" s="8">
        <v>1434</v>
      </c>
      <c r="G4" s="8">
        <v>167</v>
      </c>
      <c r="H4" s="10">
        <f>G4/F4</f>
        <v>0.11645746164574616</v>
      </c>
      <c r="I4" s="8">
        <v>65128</v>
      </c>
      <c r="J4" s="8">
        <f>E4*G4</f>
        <v>83500</v>
      </c>
      <c r="K4" s="11">
        <f>J4-I4</f>
        <v>18372</v>
      </c>
      <c r="L4" s="8">
        <f>K4/E4</f>
        <v>36.744</v>
      </c>
      <c r="M4" s="10">
        <f>L4/G4</f>
        <v>0.22002395209580838</v>
      </c>
    </row>
    <row r="5" spans="2:13" ht="50" customHeight="1">
      <c r="B5" s="7" t="s">
        <v>777</v>
      </c>
      <c r="C5" s="8">
        <v>1230</v>
      </c>
      <c r="D5" s="9">
        <v>4.7600000000000003E-2</v>
      </c>
      <c r="E5" s="8">
        <v>500</v>
      </c>
      <c r="F5" s="8">
        <v>195</v>
      </c>
      <c r="G5" s="8">
        <v>5</v>
      </c>
      <c r="H5" s="10">
        <f t="shared" ref="H5:H7" si="0">G5/F5</f>
        <v>2.564102564102564E-2</v>
      </c>
      <c r="I5" s="8">
        <v>2318</v>
      </c>
      <c r="J5" s="8">
        <f t="shared" ref="J5:J6" si="1">E5*G5</f>
        <v>2500</v>
      </c>
      <c r="K5" s="11">
        <f t="shared" ref="K5:K6" si="2">J5-I5</f>
        <v>182</v>
      </c>
      <c r="L5" s="8">
        <f t="shared" ref="L5:L6" si="3">K5/E5</f>
        <v>0.36399999999999999</v>
      </c>
      <c r="M5" s="10">
        <f t="shared" ref="M5:M6" si="4">L5/G5</f>
        <v>7.2800000000000004E-2</v>
      </c>
    </row>
    <row r="6" spans="2:13" ht="50" customHeight="1">
      <c r="B6" s="7" t="s">
        <v>778</v>
      </c>
      <c r="C6" s="8">
        <v>1230</v>
      </c>
      <c r="D6" s="9">
        <v>4.7600000000000003E-2</v>
      </c>
      <c r="E6" s="8">
        <v>1100</v>
      </c>
      <c r="F6" s="8">
        <v>1169</v>
      </c>
      <c r="G6" s="8">
        <v>119</v>
      </c>
      <c r="H6" s="10">
        <f t="shared" si="0"/>
        <v>0.10179640718562874</v>
      </c>
      <c r="I6" s="8">
        <v>106276</v>
      </c>
      <c r="J6" s="8">
        <f t="shared" si="1"/>
        <v>130900</v>
      </c>
      <c r="K6" s="11">
        <f t="shared" si="2"/>
        <v>24624</v>
      </c>
      <c r="L6" s="8">
        <f t="shared" si="3"/>
        <v>22.385454545454547</v>
      </c>
      <c r="M6" s="10">
        <f t="shared" si="4"/>
        <v>0.18811306340718106</v>
      </c>
    </row>
    <row r="7" spans="2:13" ht="50" customHeight="1">
      <c r="B7" s="7" t="s">
        <v>783</v>
      </c>
      <c r="C7" s="8">
        <v>241900</v>
      </c>
      <c r="D7" s="9">
        <v>1.72E-2</v>
      </c>
      <c r="E7" s="8">
        <v>9260</v>
      </c>
      <c r="F7" s="8">
        <v>222509</v>
      </c>
      <c r="G7" s="8">
        <v>4972</v>
      </c>
      <c r="H7" s="10">
        <f t="shared" si="0"/>
        <v>2.2345163566417539E-2</v>
      </c>
      <c r="I7" s="8">
        <v>37392577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A7A7-C9D3-454F-A3BB-0164FA8A76C3}">
  <dimension ref="B3:D10"/>
  <sheetViews>
    <sheetView topLeftCell="A2" zoomScale="136" workbookViewId="0">
      <selection activeCell="B8" sqref="B8"/>
    </sheetView>
  </sheetViews>
  <sheetFormatPr baseColWidth="10" defaultRowHeight="50" customHeight="1"/>
  <cols>
    <col min="1" max="1" width="10.7109375" style="12"/>
    <col min="2" max="2" width="100.42578125" style="12" bestFit="1" customWidth="1"/>
    <col min="3" max="3" width="43.85546875" style="12" customWidth="1"/>
    <col min="4" max="4" width="14.85546875" style="12" customWidth="1"/>
    <col min="5" max="16384" width="10.7109375" style="12"/>
  </cols>
  <sheetData>
    <row r="3" spans="2:4" ht="50" customHeight="1">
      <c r="B3" s="14" t="s">
        <v>785</v>
      </c>
      <c r="C3" s="12" t="s">
        <v>788</v>
      </c>
      <c r="D3" s="12" t="s">
        <v>795</v>
      </c>
    </row>
    <row r="4" spans="2:4" ht="50" customHeight="1">
      <c r="B4" s="14" t="s">
        <v>786</v>
      </c>
      <c r="C4" s="12" t="s">
        <v>787</v>
      </c>
      <c r="D4" s="12" t="s">
        <v>796</v>
      </c>
    </row>
    <row r="5" spans="2:4" ht="50" customHeight="1">
      <c r="B5" s="16" t="s">
        <v>789</v>
      </c>
      <c r="C5" s="12" t="s">
        <v>790</v>
      </c>
    </row>
    <row r="6" spans="2:4" ht="50" customHeight="1">
      <c r="B6" s="14" t="s">
        <v>791</v>
      </c>
      <c r="C6" s="12" t="s">
        <v>792</v>
      </c>
    </row>
    <row r="7" spans="2:4" ht="50" customHeight="1">
      <c r="B7" s="15" t="s">
        <v>793</v>
      </c>
      <c r="C7" s="12" t="s">
        <v>794</v>
      </c>
    </row>
    <row r="8" spans="2:4" ht="50" customHeight="1">
      <c r="B8" s="13" t="s">
        <v>797</v>
      </c>
      <c r="C8" s="12" t="s">
        <v>798</v>
      </c>
    </row>
    <row r="9" spans="2:4" ht="50" customHeight="1">
      <c r="B9" s="13" t="s">
        <v>799</v>
      </c>
      <c r="C9" s="12" t="s">
        <v>800</v>
      </c>
    </row>
    <row r="10" spans="2:4" ht="50" customHeight="1">
      <c r="B10" s="13" t="s">
        <v>801</v>
      </c>
      <c r="C10" s="12" t="s">
        <v>802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9764-7178-D44D-8473-DFE06B520A30}">
  <dimension ref="B3:E13"/>
  <sheetViews>
    <sheetView topLeftCell="A4" zoomScale="150" workbookViewId="0">
      <selection activeCell="B9" sqref="B9"/>
    </sheetView>
  </sheetViews>
  <sheetFormatPr baseColWidth="10" defaultRowHeight="50" customHeight="1"/>
  <cols>
    <col min="1" max="1" width="10.7109375" style="12"/>
    <col min="2" max="2" width="65.140625" style="12" bestFit="1" customWidth="1"/>
    <col min="3" max="3" width="35.140625" style="12" customWidth="1"/>
    <col min="4" max="4" width="32.85546875" style="12" customWidth="1"/>
    <col min="5" max="5" width="29" style="12" customWidth="1"/>
    <col min="6" max="16384" width="10.7109375" style="12"/>
  </cols>
  <sheetData>
    <row r="3" spans="2:5" ht="50" customHeight="1">
      <c r="B3" s="13" t="s">
        <v>805</v>
      </c>
      <c r="C3" s="12" t="s">
        <v>808</v>
      </c>
    </row>
    <row r="4" spans="2:5" ht="50" customHeight="1">
      <c r="B4" s="13" t="s">
        <v>807</v>
      </c>
      <c r="C4" s="12" t="s">
        <v>812</v>
      </c>
    </row>
    <row r="5" spans="2:5" ht="50" customHeight="1">
      <c r="B5" s="12" t="s">
        <v>845</v>
      </c>
    </row>
    <row r="6" spans="2:5" ht="50" customHeight="1">
      <c r="B6" s="12" t="s">
        <v>809</v>
      </c>
      <c r="C6" s="12" t="s">
        <v>811</v>
      </c>
      <c r="D6" s="12" t="s">
        <v>803</v>
      </c>
    </row>
    <row r="7" spans="2:5" ht="50" customHeight="1">
      <c r="B7" s="12" t="s">
        <v>810</v>
      </c>
      <c r="C7" s="12">
        <v>500</v>
      </c>
      <c r="D7" s="17">
        <v>5</v>
      </c>
    </row>
    <row r="10" spans="2:5" ht="50" customHeight="1">
      <c r="B10" s="12" t="s">
        <v>809</v>
      </c>
      <c r="C10" s="12" t="s">
        <v>813</v>
      </c>
      <c r="D10" s="12" t="s">
        <v>815</v>
      </c>
      <c r="E10" s="12" t="s">
        <v>811</v>
      </c>
    </row>
    <row r="11" spans="2:5" ht="50" customHeight="1">
      <c r="B11" s="12" t="s">
        <v>810</v>
      </c>
      <c r="C11" s="12" t="s">
        <v>814</v>
      </c>
      <c r="D11" s="12" t="s">
        <v>816</v>
      </c>
      <c r="E11" s="12" t="s">
        <v>817</v>
      </c>
    </row>
    <row r="12" spans="2:5" ht="50" customHeight="1">
      <c r="B12" s="12" t="s">
        <v>818</v>
      </c>
      <c r="C12" s="12">
        <v>350</v>
      </c>
    </row>
    <row r="13" spans="2:5" ht="50" customHeight="1">
      <c r="B13" s="12" t="s">
        <v>819</v>
      </c>
      <c r="C13" s="12">
        <v>150</v>
      </c>
      <c r="D13" s="18">
        <f>(150/350)*100</f>
        <v>42.857142857142854</v>
      </c>
      <c r="E13" s="17">
        <v>0.43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6C54-B268-734E-9010-936AE7C48BE2}">
  <dimension ref="B2:B7"/>
  <sheetViews>
    <sheetView zoomScale="150" workbookViewId="0">
      <selection activeCell="B4" sqref="B4"/>
    </sheetView>
  </sheetViews>
  <sheetFormatPr baseColWidth="10" defaultRowHeight="50" customHeight="1"/>
  <cols>
    <col min="1" max="1" width="10.7109375" style="12"/>
    <col min="2" max="2" width="129.28515625" style="12" bestFit="1" customWidth="1"/>
    <col min="3" max="16384" width="10.7109375" style="12"/>
  </cols>
  <sheetData>
    <row r="2" spans="2:2" ht="50" customHeight="1">
      <c r="B2" s="13" t="s">
        <v>846</v>
      </c>
    </row>
    <row r="3" spans="2:2" ht="50" customHeight="1">
      <c r="B3" s="13" t="s">
        <v>847</v>
      </c>
    </row>
    <row r="4" spans="2:2" ht="50" customHeight="1">
      <c r="B4" s="13" t="s">
        <v>804</v>
      </c>
    </row>
    <row r="5" spans="2:2" ht="50" customHeight="1">
      <c r="B5" s="13" t="s">
        <v>806</v>
      </c>
    </row>
    <row r="6" spans="2:2" ht="50" customHeight="1">
      <c r="B6" s="13" t="s">
        <v>848</v>
      </c>
    </row>
    <row r="7" spans="2:2" ht="50" customHeight="1">
      <c r="B7" s="13" t="s">
        <v>849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OKR</vt:lpstr>
      <vt:lpstr>네이버 연관키워드</vt:lpstr>
      <vt:lpstr>키워드 분석</vt:lpstr>
      <vt:lpstr>키워드 과금방법</vt:lpstr>
      <vt:lpstr>ROAS, ROI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sejin park</cp:lastModifiedBy>
  <dcterms:created xsi:type="dcterms:W3CDTF">2026-01-20T09:06:44Z</dcterms:created>
  <dcterms:modified xsi:type="dcterms:W3CDTF">2026-01-20T09:06:45Z</dcterms:modified>
</cp:coreProperties>
</file>